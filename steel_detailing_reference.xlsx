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es" sheetId="1" state="visible" r:id="rId1"/>
    <sheet name="Plate" sheetId="2" state="visible" r:id="rId2"/>
    <sheet name="Pipe" sheetId="3" state="visible" r:id="rId3"/>
    <sheet name="Materials" sheetId="4" state="visible" r:id="rId4"/>
    <sheet name="Handrail" sheetId="5" state="visible" r:id="rId5"/>
    <sheet name="Pipe Supports" sheetId="6" state="visible" r:id="rId6"/>
    <sheet name="Platforms" sheetId="7" state="visible" r:id="rId7"/>
    <sheet name="Bol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sz val="11"/>
    </font>
    <font>
      <name val="Calibri"/>
      <b val="1"/>
      <color rgb="00375623"/>
      <sz val="10"/>
    </font>
    <font>
      <name val="Calibri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375623"/>
      </left>
      <right style="medium">
        <color rgb="00375623"/>
      </right>
      <top style="medium">
        <color rgb="00375623"/>
      </top>
      <bottom style="medium">
        <color rgb="0037562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 wrapText="1"/>
    </xf>
    <xf numFmtId="4" fontId="6" fillId="7" borderId="3" applyAlignment="1" pivotButton="0" quotePrefix="0" xfId="0">
      <alignment horizontal="center" vertical="center" wrapText="1"/>
    </xf>
    <xf numFmtId="0" fontId="7" fillId="0" borderId="0" pivotButton="0" quotePrefix="0" xfId="0"/>
    <xf numFmtId="164" fontId="6" fillId="7" borderId="3" applyAlignment="1" pivotButton="0" quotePrefix="0" xfId="0">
      <alignment horizontal="center" vertical="center" wrapText="1"/>
    </xf>
    <xf numFmtId="1" fontId="6" fillId="7" borderId="3" applyAlignment="1" pivotButton="0" quotePrefix="0" xfId="0">
      <alignment horizontal="center" vertical="center" wrapText="1"/>
    </xf>
    <xf numFmtId="165" fontId="6" fillId="7" borderId="3" applyAlignment="1" pivotButton="0" quotePrefix="0" xfId="0">
      <alignment horizontal="center" vertical="center" wrapText="1"/>
    </xf>
    <xf numFmtId="166" fontId="6" fillId="7" borderId="1" applyAlignment="1" pivotButton="0" quotePrefix="0" xfId="0">
      <alignment horizontal="center" vertical="center" wrapText="1"/>
    </xf>
    <xf numFmtId="166" fontId="6" fillId="7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28" customWidth="1" min="8" max="8"/>
  </cols>
  <sheetData>
    <row r="1" ht="22" customHeight="1">
      <c r="A1" s="1" t="inlineStr">
        <is>
          <t>W-SHAPES  (Wide Flange)  —  AISC</t>
        </is>
      </c>
    </row>
    <row r="2" ht="28" customHeight="1">
      <c r="A2" s="2" t="inlineStr">
        <is>
          <t>Designation</t>
        </is>
      </c>
      <c r="B2" s="2" t="inlineStr">
        <is>
          <t>d (in)</t>
        </is>
      </c>
      <c r="C2" s="2" t="inlineStr">
        <is>
          <t>bf (in)</t>
        </is>
      </c>
      <c r="D2" s="2" t="inlineStr">
        <is>
          <t>tw (in)</t>
        </is>
      </c>
      <c r="E2" s="2" t="inlineStr">
        <is>
          <t>tf (in)</t>
        </is>
      </c>
      <c r="F2" s="2" t="inlineStr">
        <is>
          <t>Wt (lb/ft)</t>
        </is>
      </c>
      <c r="G2" s="2" t="inlineStr">
        <is>
          <t>Area (in²)</t>
        </is>
      </c>
      <c r="H2" s="2" t="inlineStr">
        <is>
          <t>Notes</t>
        </is>
      </c>
    </row>
    <row r="3">
      <c r="A3" s="3" t="inlineStr">
        <is>
          <t>W4x13</t>
        </is>
      </c>
      <c r="B3" s="4" t="n">
        <v>4.16</v>
      </c>
      <c r="C3" s="4" t="n">
        <v>4.06</v>
      </c>
      <c r="D3" s="4" t="n">
        <v>0.28</v>
      </c>
      <c r="E3" s="4" t="n">
        <v>0.345</v>
      </c>
      <c r="F3" s="4" t="n">
        <v>13</v>
      </c>
      <c r="G3" s="4" t="n">
        <v>3.83</v>
      </c>
      <c r="H3" s="3" t="inlineStr"/>
    </row>
    <row r="4">
      <c r="A4" s="5" t="inlineStr">
        <is>
          <t>W5x16</t>
        </is>
      </c>
      <c r="B4" s="6" t="n">
        <v>5.01</v>
      </c>
      <c r="C4" s="6" t="n">
        <v>5</v>
      </c>
      <c r="D4" s="6" t="n">
        <v>0.24</v>
      </c>
      <c r="E4" s="6" t="n">
        <v>0.36</v>
      </c>
      <c r="F4" s="6" t="n">
        <v>16</v>
      </c>
      <c r="G4" s="6" t="n">
        <v>4.71</v>
      </c>
      <c r="H4" s="5" t="inlineStr"/>
    </row>
    <row r="5">
      <c r="A5" s="3" t="inlineStr">
        <is>
          <t>W6x9</t>
        </is>
      </c>
      <c r="B5" s="4" t="n">
        <v>5.9</v>
      </c>
      <c r="C5" s="4" t="n">
        <v>3.94</v>
      </c>
      <c r="D5" s="4" t="n">
        <v>0.17</v>
      </c>
      <c r="E5" s="4" t="n">
        <v>0.215</v>
      </c>
      <c r="F5" s="4" t="n">
        <v>9</v>
      </c>
      <c r="G5" s="4" t="n">
        <v>2.68</v>
      </c>
      <c r="H5" s="3" t="inlineStr"/>
    </row>
    <row r="6">
      <c r="A6" s="5" t="inlineStr">
        <is>
          <t>W6x15</t>
        </is>
      </c>
      <c r="B6" s="6" t="n">
        <v>5.99</v>
      </c>
      <c r="C6" s="6" t="n">
        <v>5.99</v>
      </c>
      <c r="D6" s="6" t="n">
        <v>0.23</v>
      </c>
      <c r="E6" s="6" t="n">
        <v>0.26</v>
      </c>
      <c r="F6" s="6" t="n">
        <v>15</v>
      </c>
      <c r="G6" s="6" t="n">
        <v>4.43</v>
      </c>
      <c r="H6" s="5" t="inlineStr"/>
    </row>
    <row r="7">
      <c r="A7" s="3" t="inlineStr">
        <is>
          <t>W6x20</t>
        </is>
      </c>
      <c r="B7" s="4" t="n">
        <v>6.2</v>
      </c>
      <c r="C7" s="4" t="n">
        <v>6.02</v>
      </c>
      <c r="D7" s="4" t="n">
        <v>0.26</v>
      </c>
      <c r="E7" s="4" t="n">
        <v>0.365</v>
      </c>
      <c r="F7" s="4" t="n">
        <v>20</v>
      </c>
      <c r="G7" s="4" t="n">
        <v>5.87</v>
      </c>
      <c r="H7" s="3" t="inlineStr"/>
    </row>
    <row r="8">
      <c r="A8" s="5" t="inlineStr">
        <is>
          <t>W8x10</t>
        </is>
      </c>
      <c r="B8" s="6" t="n">
        <v>7.89</v>
      </c>
      <c r="C8" s="6" t="n">
        <v>3.94</v>
      </c>
      <c r="D8" s="6" t="n">
        <v>0.17</v>
      </c>
      <c r="E8" s="6" t="n">
        <v>0.205</v>
      </c>
      <c r="F8" s="6" t="n">
        <v>10</v>
      </c>
      <c r="G8" s="6" t="n">
        <v>2.96</v>
      </c>
      <c r="H8" s="5" t="inlineStr"/>
    </row>
    <row r="9">
      <c r="A9" s="3" t="inlineStr">
        <is>
          <t>W8x18</t>
        </is>
      </c>
      <c r="B9" s="4" t="n">
        <v>8.140000000000001</v>
      </c>
      <c r="C9" s="4" t="n">
        <v>5.25</v>
      </c>
      <c r="D9" s="4" t="n">
        <v>0.23</v>
      </c>
      <c r="E9" s="4" t="n">
        <v>0.33</v>
      </c>
      <c r="F9" s="4" t="n">
        <v>18</v>
      </c>
      <c r="G9" s="4" t="n">
        <v>5.26</v>
      </c>
      <c r="H9" s="3" t="inlineStr"/>
    </row>
    <row r="10">
      <c r="A10" s="5" t="inlineStr">
        <is>
          <t>W8x24</t>
        </is>
      </c>
      <c r="B10" s="6" t="n">
        <v>7.93</v>
      </c>
      <c r="C10" s="6" t="n">
        <v>6.495</v>
      </c>
      <c r="D10" s="6" t="n">
        <v>0.245</v>
      </c>
      <c r="E10" s="6" t="n">
        <v>0.4</v>
      </c>
      <c r="F10" s="6" t="n">
        <v>24</v>
      </c>
      <c r="G10" s="6" t="n">
        <v>7.08</v>
      </c>
      <c r="H10" s="5" t="inlineStr"/>
    </row>
    <row r="11">
      <c r="A11" s="3" t="inlineStr">
        <is>
          <t>W8x31</t>
        </is>
      </c>
      <c r="B11" s="4" t="n">
        <v>8</v>
      </c>
      <c r="C11" s="4" t="n">
        <v>7.995</v>
      </c>
      <c r="D11" s="4" t="n">
        <v>0.285</v>
      </c>
      <c r="E11" s="4" t="n">
        <v>0.435</v>
      </c>
      <c r="F11" s="4" t="n">
        <v>31</v>
      </c>
      <c r="G11" s="4" t="n">
        <v>9.130000000000001</v>
      </c>
      <c r="H11" s="3" t="inlineStr"/>
    </row>
    <row r="12">
      <c r="A12" s="5" t="inlineStr">
        <is>
          <t>W10x22</t>
        </is>
      </c>
      <c r="B12" s="6" t="n">
        <v>10.17</v>
      </c>
      <c r="C12" s="6" t="n">
        <v>5.75</v>
      </c>
      <c r="D12" s="6" t="n">
        <v>0.24</v>
      </c>
      <c r="E12" s="6" t="n">
        <v>0.36</v>
      </c>
      <c r="F12" s="6" t="n">
        <v>22</v>
      </c>
      <c r="G12" s="6" t="n">
        <v>6.49</v>
      </c>
      <c r="H12" s="5" t="inlineStr"/>
    </row>
    <row r="13">
      <c r="A13" s="3" t="inlineStr">
        <is>
          <t>W10x33</t>
        </is>
      </c>
      <c r="B13" s="4" t="n">
        <v>9.73</v>
      </c>
      <c r="C13" s="4" t="n">
        <v>7.96</v>
      </c>
      <c r="D13" s="4" t="n">
        <v>0.29</v>
      </c>
      <c r="E13" s="4" t="n">
        <v>0.435</v>
      </c>
      <c r="F13" s="4" t="n">
        <v>33</v>
      </c>
      <c r="G13" s="4" t="n">
        <v>9.710000000000001</v>
      </c>
      <c r="H13" s="3" t="inlineStr"/>
    </row>
    <row r="14">
      <c r="A14" s="5" t="inlineStr">
        <is>
          <t>W10x49</t>
        </is>
      </c>
      <c r="B14" s="6" t="n">
        <v>10</v>
      </c>
      <c r="C14" s="6" t="n">
        <v>10</v>
      </c>
      <c r="D14" s="6" t="n">
        <v>0.34</v>
      </c>
      <c r="E14" s="6" t="n">
        <v>0.5600000000000001</v>
      </c>
      <c r="F14" s="6" t="n">
        <v>49</v>
      </c>
      <c r="G14" s="6" t="n">
        <v>14.4</v>
      </c>
      <c r="H14" s="5" t="inlineStr"/>
    </row>
    <row r="15">
      <c r="A15" s="3" t="inlineStr">
        <is>
          <t>W12x16</t>
        </is>
      </c>
      <c r="B15" s="4" t="n">
        <v>11.99</v>
      </c>
      <c r="C15" s="4" t="n">
        <v>3.99</v>
      </c>
      <c r="D15" s="4" t="n">
        <v>0.22</v>
      </c>
      <c r="E15" s="4" t="n">
        <v>0.265</v>
      </c>
      <c r="F15" s="4" t="n">
        <v>16</v>
      </c>
      <c r="G15" s="4" t="n">
        <v>4.71</v>
      </c>
      <c r="H15" s="3" t="inlineStr"/>
    </row>
    <row r="16">
      <c r="A16" s="5" t="inlineStr">
        <is>
          <t>W12x26</t>
        </is>
      </c>
      <c r="B16" s="6" t="n">
        <v>12.22</v>
      </c>
      <c r="C16" s="6" t="n">
        <v>6.49</v>
      </c>
      <c r="D16" s="6" t="n">
        <v>0.23</v>
      </c>
      <c r="E16" s="6" t="n">
        <v>0.38</v>
      </c>
      <c r="F16" s="6" t="n">
        <v>26</v>
      </c>
      <c r="G16" s="6" t="n">
        <v>7.65</v>
      </c>
      <c r="H16" s="5" t="inlineStr"/>
    </row>
    <row r="17">
      <c r="A17" s="3" t="inlineStr">
        <is>
          <t>W12x40</t>
        </is>
      </c>
      <c r="B17" s="4" t="n">
        <v>11.94</v>
      </c>
      <c r="C17" s="4" t="n">
        <v>8.01</v>
      </c>
      <c r="D17" s="4" t="n">
        <v>0.295</v>
      </c>
      <c r="E17" s="4" t="n">
        <v>0.515</v>
      </c>
      <c r="F17" s="4" t="n">
        <v>40</v>
      </c>
      <c r="G17" s="4" t="n">
        <v>11.8</v>
      </c>
      <c r="H17" s="3" t="inlineStr"/>
    </row>
    <row r="18">
      <c r="A18" s="5" t="inlineStr">
        <is>
          <t>W12x53</t>
        </is>
      </c>
      <c r="B18" s="6" t="n">
        <v>12.06</v>
      </c>
      <c r="C18" s="6" t="n">
        <v>9.994999999999999</v>
      </c>
      <c r="D18" s="6" t="n">
        <v>0.345</v>
      </c>
      <c r="E18" s="6" t="n">
        <v>0.575</v>
      </c>
      <c r="F18" s="6" t="n">
        <v>53</v>
      </c>
      <c r="G18" s="6" t="n">
        <v>15.6</v>
      </c>
      <c r="H18" s="5" t="inlineStr"/>
    </row>
    <row r="19">
      <c r="A19" s="3" t="inlineStr">
        <is>
          <t>W12x72</t>
        </is>
      </c>
      <c r="B19" s="4" t="n">
        <v>12.25</v>
      </c>
      <c r="C19" s="4" t="n">
        <v>12.04</v>
      </c>
      <c r="D19" s="4" t="n">
        <v>0.43</v>
      </c>
      <c r="E19" s="4" t="n">
        <v>0.67</v>
      </c>
      <c r="F19" s="4" t="n">
        <v>72</v>
      </c>
      <c r="G19" s="4" t="n">
        <v>21.1</v>
      </c>
      <c r="H19" s="3" t="inlineStr"/>
    </row>
    <row r="20">
      <c r="A20" s="5" t="inlineStr">
        <is>
          <t>W12x96</t>
        </is>
      </c>
      <c r="B20" s="6" t="n">
        <v>12.71</v>
      </c>
      <c r="C20" s="6" t="n">
        <v>12.16</v>
      </c>
      <c r="D20" s="6" t="n">
        <v>0.55</v>
      </c>
      <c r="E20" s="6" t="n">
        <v>0.9</v>
      </c>
      <c r="F20" s="6" t="n">
        <v>96</v>
      </c>
      <c r="G20" s="6" t="n">
        <v>28.2</v>
      </c>
      <c r="H20" s="5" t="inlineStr"/>
    </row>
    <row r="21">
      <c r="A21" s="3" t="inlineStr">
        <is>
          <t>W14x22</t>
        </is>
      </c>
      <c r="B21" s="4" t="n">
        <v>13.74</v>
      </c>
      <c r="C21" s="4" t="n">
        <v>5</v>
      </c>
      <c r="D21" s="4" t="n">
        <v>0.23</v>
      </c>
      <c r="E21" s="4" t="n">
        <v>0.335</v>
      </c>
      <c r="F21" s="4" t="n">
        <v>22</v>
      </c>
      <c r="G21" s="4" t="n">
        <v>6.49</v>
      </c>
      <c r="H21" s="3" t="inlineStr"/>
    </row>
    <row r="22">
      <c r="A22" s="5" t="inlineStr">
        <is>
          <t>W14x38</t>
        </is>
      </c>
      <c r="B22" s="6" t="n">
        <v>14.1</v>
      </c>
      <c r="C22" s="6" t="n">
        <v>6.77</v>
      </c>
      <c r="D22" s="6" t="n">
        <v>0.31</v>
      </c>
      <c r="E22" s="6" t="n">
        <v>0.515</v>
      </c>
      <c r="F22" s="6" t="n">
        <v>38</v>
      </c>
      <c r="G22" s="6" t="n">
        <v>11.2</v>
      </c>
      <c r="H22" s="5" t="inlineStr"/>
    </row>
    <row r="23">
      <c r="A23" s="3" t="inlineStr">
        <is>
          <t>W14x53</t>
        </is>
      </c>
      <c r="B23" s="4" t="n">
        <v>13.92</v>
      </c>
      <c r="C23" s="4" t="n">
        <v>8.06</v>
      </c>
      <c r="D23" s="4" t="n">
        <v>0.37</v>
      </c>
      <c r="E23" s="4" t="n">
        <v>0.66</v>
      </c>
      <c r="F23" s="4" t="n">
        <v>53</v>
      </c>
      <c r="G23" s="4" t="n">
        <v>15.6</v>
      </c>
      <c r="H23" s="3" t="inlineStr"/>
    </row>
    <row r="24">
      <c r="A24" s="5" t="inlineStr">
        <is>
          <t>W16x26</t>
        </is>
      </c>
      <c r="B24" s="6" t="n">
        <v>15.69</v>
      </c>
      <c r="C24" s="6" t="n">
        <v>5.5</v>
      </c>
      <c r="D24" s="6" t="n">
        <v>0.25</v>
      </c>
      <c r="E24" s="6" t="n">
        <v>0.345</v>
      </c>
      <c r="F24" s="6" t="n">
        <v>26</v>
      </c>
      <c r="G24" s="6" t="n">
        <v>7.68</v>
      </c>
      <c r="H24" s="5" t="inlineStr"/>
    </row>
    <row r="25">
      <c r="A25" s="3" t="inlineStr">
        <is>
          <t>W16x36</t>
        </is>
      </c>
      <c r="B25" s="4" t="n">
        <v>15.86</v>
      </c>
      <c r="C25" s="4" t="n">
        <v>6.985</v>
      </c>
      <c r="D25" s="4" t="n">
        <v>0.295</v>
      </c>
      <c r="E25" s="4" t="n">
        <v>0.43</v>
      </c>
      <c r="F25" s="4" t="n">
        <v>36</v>
      </c>
      <c r="G25" s="4" t="n">
        <v>10.6</v>
      </c>
      <c r="H25" s="3" t="inlineStr"/>
    </row>
    <row r="26">
      <c r="A26" s="5" t="inlineStr">
        <is>
          <t>W18x35</t>
        </is>
      </c>
      <c r="B26" s="6" t="n">
        <v>17.7</v>
      </c>
      <c r="C26" s="6" t="n">
        <v>6</v>
      </c>
      <c r="D26" s="6" t="n">
        <v>0.3</v>
      </c>
      <c r="E26" s="6" t="n">
        <v>0.425</v>
      </c>
      <c r="F26" s="6" t="n">
        <v>35</v>
      </c>
      <c r="G26" s="6" t="n">
        <v>10.3</v>
      </c>
      <c r="H26" s="5" t="inlineStr"/>
    </row>
    <row r="27">
      <c r="A27" s="3" t="inlineStr">
        <is>
          <t>W18x46</t>
        </is>
      </c>
      <c r="B27" s="4" t="n">
        <v>18.06</v>
      </c>
      <c r="C27" s="4" t="n">
        <v>6.06</v>
      </c>
      <c r="D27" s="4" t="n">
        <v>0.36</v>
      </c>
      <c r="E27" s="4" t="n">
        <v>0.605</v>
      </c>
      <c r="F27" s="4" t="n">
        <v>46</v>
      </c>
      <c r="G27" s="4" t="n">
        <v>13.5</v>
      </c>
      <c r="H27" s="3" t="inlineStr"/>
    </row>
    <row r="29" ht="22" customHeight="1">
      <c r="A29" s="1" t="inlineStr">
        <is>
          <t>C-SHAPES  (American Standard Channels)</t>
        </is>
      </c>
    </row>
    <row r="30" ht="28" customHeight="1">
      <c r="A30" s="2" t="inlineStr">
        <is>
          <t>Designation</t>
        </is>
      </c>
      <c r="B30" s="2" t="inlineStr">
        <is>
          <t>d (in)</t>
        </is>
      </c>
      <c r="C30" s="2" t="inlineStr">
        <is>
          <t>bf (in)</t>
        </is>
      </c>
      <c r="D30" s="2" t="inlineStr">
        <is>
          <t>tw (in)</t>
        </is>
      </c>
      <c r="E30" s="2" t="inlineStr">
        <is>
          <t>tf (in)</t>
        </is>
      </c>
      <c r="F30" s="2" t="inlineStr">
        <is>
          <t>Wt (lb/ft)</t>
        </is>
      </c>
      <c r="G30" s="2" t="inlineStr">
        <is>
          <t>Area (in²)</t>
        </is>
      </c>
      <c r="H30" s="2" t="inlineStr"/>
    </row>
    <row r="31">
      <c r="A31" s="3" t="inlineStr">
        <is>
          <t>C3x4.1</t>
        </is>
      </c>
      <c r="B31" s="4" t="n">
        <v>3</v>
      </c>
      <c r="C31" s="4" t="n">
        <v>1.41</v>
      </c>
      <c r="D31" s="4" t="n">
        <v>0.17</v>
      </c>
      <c r="E31" s="4" t="n">
        <v>0.273</v>
      </c>
      <c r="F31" s="4" t="n">
        <v>4.1</v>
      </c>
      <c r="G31" s="4" t="n">
        <v>1.21</v>
      </c>
      <c r="H31" s="3" t="inlineStr"/>
    </row>
    <row r="32">
      <c r="A32" s="5" t="inlineStr">
        <is>
          <t>C4x5.4</t>
        </is>
      </c>
      <c r="B32" s="6" t="n">
        <v>4</v>
      </c>
      <c r="C32" s="6" t="n">
        <v>1.58</v>
      </c>
      <c r="D32" s="6" t="n">
        <v>0.184</v>
      </c>
      <c r="E32" s="6" t="n">
        <v>0.296</v>
      </c>
      <c r="F32" s="6" t="n">
        <v>5.4</v>
      </c>
      <c r="G32" s="6" t="n">
        <v>1.59</v>
      </c>
      <c r="H32" s="5" t="inlineStr"/>
    </row>
    <row r="33">
      <c r="A33" s="3" t="inlineStr">
        <is>
          <t>C5x6.7</t>
        </is>
      </c>
      <c r="B33" s="4" t="n">
        <v>5</v>
      </c>
      <c r="C33" s="4" t="n">
        <v>1.75</v>
      </c>
      <c r="D33" s="4" t="n">
        <v>0.19</v>
      </c>
      <c r="E33" s="4" t="n">
        <v>0.32</v>
      </c>
      <c r="F33" s="4" t="n">
        <v>6.7</v>
      </c>
      <c r="G33" s="4" t="n">
        <v>1.97</v>
      </c>
      <c r="H33" s="3" t="inlineStr"/>
    </row>
    <row r="34">
      <c r="A34" s="5" t="inlineStr">
        <is>
          <t>C6x8.2</t>
        </is>
      </c>
      <c r="B34" s="6" t="n">
        <v>6</v>
      </c>
      <c r="C34" s="6" t="n">
        <v>1.92</v>
      </c>
      <c r="D34" s="6" t="n">
        <v>0.2</v>
      </c>
      <c r="E34" s="6" t="n">
        <v>0.343</v>
      </c>
      <c r="F34" s="6" t="n">
        <v>8.199999999999999</v>
      </c>
      <c r="G34" s="6" t="n">
        <v>2.4</v>
      </c>
      <c r="H34" s="5" t="inlineStr"/>
    </row>
    <row r="35">
      <c r="A35" s="3" t="inlineStr">
        <is>
          <t>C6x10.5</t>
        </is>
      </c>
      <c r="B35" s="4" t="n">
        <v>6</v>
      </c>
      <c r="C35" s="4" t="n">
        <v>2.034</v>
      </c>
      <c r="D35" s="4" t="n">
        <v>0.314</v>
      </c>
      <c r="E35" s="4" t="n">
        <v>0.343</v>
      </c>
      <c r="F35" s="4" t="n">
        <v>10.5</v>
      </c>
      <c r="G35" s="4" t="n">
        <v>3.09</v>
      </c>
      <c r="H35" s="3" t="inlineStr"/>
    </row>
    <row r="36">
      <c r="A36" s="5" t="inlineStr">
        <is>
          <t>C7x9.8</t>
        </is>
      </c>
      <c r="B36" s="6" t="n">
        <v>7</v>
      </c>
      <c r="C36" s="6" t="n">
        <v>2.09</v>
      </c>
      <c r="D36" s="6" t="n">
        <v>0.21</v>
      </c>
      <c r="E36" s="6" t="n">
        <v>0.366</v>
      </c>
      <c r="F36" s="6" t="n">
        <v>9.800000000000001</v>
      </c>
      <c r="G36" s="6" t="n">
        <v>2.87</v>
      </c>
      <c r="H36" s="5" t="inlineStr"/>
    </row>
    <row r="37">
      <c r="A37" s="3" t="inlineStr">
        <is>
          <t>C8x11.5</t>
        </is>
      </c>
      <c r="B37" s="4" t="n">
        <v>8</v>
      </c>
      <c r="C37" s="4" t="n">
        <v>2.26</v>
      </c>
      <c r="D37" s="4" t="n">
        <v>0.22</v>
      </c>
      <c r="E37" s="4" t="n">
        <v>0.39</v>
      </c>
      <c r="F37" s="4" t="n">
        <v>11.5</v>
      </c>
      <c r="G37" s="4" t="n">
        <v>3.38</v>
      </c>
      <c r="H37" s="3" t="inlineStr"/>
    </row>
    <row r="38">
      <c r="A38" s="5" t="inlineStr">
        <is>
          <t>C8x13.75</t>
        </is>
      </c>
      <c r="B38" s="6" t="n">
        <v>8</v>
      </c>
      <c r="C38" s="6" t="n">
        <v>2.343</v>
      </c>
      <c r="D38" s="6" t="n">
        <v>0.303</v>
      </c>
      <c r="E38" s="6" t="n">
        <v>0.39</v>
      </c>
      <c r="F38" s="6" t="n">
        <v>13.75</v>
      </c>
      <c r="G38" s="6" t="n">
        <v>4.04</v>
      </c>
      <c r="H38" s="5" t="inlineStr"/>
    </row>
    <row r="39">
      <c r="A39" s="3" t="inlineStr">
        <is>
          <t>C9x15</t>
        </is>
      </c>
      <c r="B39" s="4" t="n">
        <v>9</v>
      </c>
      <c r="C39" s="4" t="n">
        <v>2.485</v>
      </c>
      <c r="D39" s="4" t="n">
        <v>0.285</v>
      </c>
      <c r="E39" s="4" t="n">
        <v>0.413</v>
      </c>
      <c r="F39" s="4" t="n">
        <v>15</v>
      </c>
      <c r="G39" s="4" t="n">
        <v>4.41</v>
      </c>
      <c r="H39" s="3" t="inlineStr"/>
    </row>
    <row r="40">
      <c r="A40" s="5" t="inlineStr">
        <is>
          <t>C10x15.3</t>
        </is>
      </c>
      <c r="B40" s="6" t="n">
        <v>10</v>
      </c>
      <c r="C40" s="6" t="n">
        <v>2.6</v>
      </c>
      <c r="D40" s="6" t="n">
        <v>0.24</v>
      </c>
      <c r="E40" s="6" t="n">
        <v>0.436</v>
      </c>
      <c r="F40" s="6" t="n">
        <v>15.3</v>
      </c>
      <c r="G40" s="6" t="n">
        <v>4.49</v>
      </c>
      <c r="H40" s="5" t="inlineStr"/>
    </row>
    <row r="41">
      <c r="A41" s="3" t="inlineStr">
        <is>
          <t>C10x20</t>
        </is>
      </c>
      <c r="B41" s="4" t="n">
        <v>10</v>
      </c>
      <c r="C41" s="4" t="n">
        <v>2.739</v>
      </c>
      <c r="D41" s="4" t="n">
        <v>0.379</v>
      </c>
      <c r="E41" s="4" t="n">
        <v>0.436</v>
      </c>
      <c r="F41" s="4" t="n">
        <v>20</v>
      </c>
      <c r="G41" s="4" t="n">
        <v>5.88</v>
      </c>
      <c r="H41" s="3" t="inlineStr"/>
    </row>
    <row r="42">
      <c r="A42" s="5" t="inlineStr">
        <is>
          <t>C12x20.7</t>
        </is>
      </c>
      <c r="B42" s="6" t="n">
        <v>12</v>
      </c>
      <c r="C42" s="6" t="n">
        <v>2.942</v>
      </c>
      <c r="D42" s="6" t="n">
        <v>0.282</v>
      </c>
      <c r="E42" s="6" t="n">
        <v>0.501</v>
      </c>
      <c r="F42" s="6" t="n">
        <v>20.7</v>
      </c>
      <c r="G42" s="6" t="n">
        <v>6.09</v>
      </c>
      <c r="H42" s="5" t="inlineStr"/>
    </row>
    <row r="43">
      <c r="A43" s="3" t="inlineStr">
        <is>
          <t>C12x25</t>
        </is>
      </c>
      <c r="B43" s="4" t="n">
        <v>12</v>
      </c>
      <c r="C43" s="4" t="n">
        <v>3.047</v>
      </c>
      <c r="D43" s="4" t="n">
        <v>0.387</v>
      </c>
      <c r="E43" s="4" t="n">
        <v>0.501</v>
      </c>
      <c r="F43" s="4" t="n">
        <v>25</v>
      </c>
      <c r="G43" s="4" t="n">
        <v>7.35</v>
      </c>
      <c r="H43" s="3" t="inlineStr"/>
    </row>
    <row r="44">
      <c r="A44" s="5" t="inlineStr">
        <is>
          <t>C15x33.9</t>
        </is>
      </c>
      <c r="B44" s="6" t="n">
        <v>15</v>
      </c>
      <c r="C44" s="6" t="n">
        <v>3.4</v>
      </c>
      <c r="D44" s="6" t="n">
        <v>0.4</v>
      </c>
      <c r="E44" s="6" t="n">
        <v>0.65</v>
      </c>
      <c r="F44" s="6" t="n">
        <v>33.9</v>
      </c>
      <c r="G44" s="6" t="n">
        <v>9.960000000000001</v>
      </c>
      <c r="H44" s="5" t="inlineStr"/>
    </row>
    <row r="45">
      <c r="A45" s="3" t="inlineStr">
        <is>
          <t>C15x50</t>
        </is>
      </c>
      <c r="B45" s="4" t="n">
        <v>15</v>
      </c>
      <c r="C45" s="4" t="n">
        <v>3.716</v>
      </c>
      <c r="D45" s="4" t="n">
        <v>0.716</v>
      </c>
      <c r="E45" s="4" t="n">
        <v>0.65</v>
      </c>
      <c r="F45" s="4" t="n">
        <v>50</v>
      </c>
      <c r="G45" s="4" t="n">
        <v>14.7</v>
      </c>
      <c r="H45" s="3" t="inlineStr"/>
    </row>
    <row r="47" ht="22" customHeight="1">
      <c r="A47" s="1" t="inlineStr">
        <is>
          <t>ANGLES  (Equal &amp; Unequal Leg)</t>
        </is>
      </c>
    </row>
    <row r="48" ht="28" customHeight="1">
      <c r="A48" s="2" t="inlineStr">
        <is>
          <t>Designation</t>
        </is>
      </c>
      <c r="B48" s="2" t="inlineStr">
        <is>
          <t>Leg A (in)</t>
        </is>
      </c>
      <c r="C48" s="2" t="inlineStr">
        <is>
          <t>Leg B (in)</t>
        </is>
      </c>
      <c r="D48" s="2" t="inlineStr">
        <is>
          <t>Thickness (in)</t>
        </is>
      </c>
      <c r="E48" s="2" t="inlineStr">
        <is>
          <t>Wt (lb/ft)</t>
        </is>
      </c>
      <c r="F48" s="2" t="inlineStr">
        <is>
          <t>Area (in²)</t>
        </is>
      </c>
      <c r="G48" s="2" t="inlineStr"/>
      <c r="H48" s="2" t="inlineStr"/>
    </row>
    <row r="49">
      <c r="A49" s="3" t="inlineStr">
        <is>
          <t>L2x2x1/4</t>
        </is>
      </c>
      <c r="B49" s="4" t="n">
        <v>2</v>
      </c>
      <c r="C49" s="4" t="n">
        <v>2</v>
      </c>
      <c r="D49" s="4" t="n">
        <v>0.25</v>
      </c>
      <c r="E49" s="4" t="n">
        <v>3.19</v>
      </c>
      <c r="F49" s="4" t="n">
        <v>0.9379999999999999</v>
      </c>
      <c r="G49" s="3" t="inlineStr"/>
      <c r="H49" s="3" t="inlineStr"/>
    </row>
    <row r="50">
      <c r="A50" s="5" t="inlineStr">
        <is>
          <t>L2x2x3/8</t>
        </is>
      </c>
      <c r="B50" s="6" t="n">
        <v>2</v>
      </c>
      <c r="C50" s="6" t="n">
        <v>2</v>
      </c>
      <c r="D50" s="6" t="n">
        <v>0.375</v>
      </c>
      <c r="E50" s="6" t="n">
        <v>4.7</v>
      </c>
      <c r="F50" s="6" t="n">
        <v>1.36</v>
      </c>
      <c r="G50" s="5" t="inlineStr"/>
      <c r="H50" s="5" t="inlineStr"/>
    </row>
    <row r="51">
      <c r="A51" s="3" t="inlineStr">
        <is>
          <t>L2.5x2.5x1/4</t>
        </is>
      </c>
      <c r="B51" s="4" t="n">
        <v>2.5</v>
      </c>
      <c r="C51" s="4" t="n">
        <v>2.5</v>
      </c>
      <c r="D51" s="4" t="n">
        <v>0.25</v>
      </c>
      <c r="E51" s="4" t="n">
        <v>4.1</v>
      </c>
      <c r="F51" s="4" t="n">
        <v>1.19</v>
      </c>
      <c r="G51" s="3" t="inlineStr"/>
      <c r="H51" s="3" t="inlineStr"/>
    </row>
    <row r="52">
      <c r="A52" s="5" t="inlineStr">
        <is>
          <t>L3x3x3/16</t>
        </is>
      </c>
      <c r="B52" s="6" t="n">
        <v>3</v>
      </c>
      <c r="C52" s="6" t="n">
        <v>3</v>
      </c>
      <c r="D52" s="6" t="n">
        <v>0.1875</v>
      </c>
      <c r="E52" s="6" t="n">
        <v>3.71</v>
      </c>
      <c r="F52" s="6" t="n">
        <v>1.09</v>
      </c>
      <c r="G52" s="5" t="inlineStr"/>
      <c r="H52" s="5" t="inlineStr"/>
    </row>
    <row r="53">
      <c r="A53" s="3" t="inlineStr">
        <is>
          <t>L3x3x1/4</t>
        </is>
      </c>
      <c r="B53" s="4" t="n">
        <v>3</v>
      </c>
      <c r="C53" s="4" t="n">
        <v>3</v>
      </c>
      <c r="D53" s="4" t="n">
        <v>0.25</v>
      </c>
      <c r="E53" s="4" t="n">
        <v>4.9</v>
      </c>
      <c r="F53" s="4" t="n">
        <v>1.44</v>
      </c>
      <c r="G53" s="3" t="inlineStr"/>
      <c r="H53" s="3" t="inlineStr"/>
    </row>
    <row r="54">
      <c r="A54" s="5" t="inlineStr">
        <is>
          <t>L3x3x3/8</t>
        </is>
      </c>
      <c r="B54" s="6" t="n">
        <v>3</v>
      </c>
      <c r="C54" s="6" t="n">
        <v>3</v>
      </c>
      <c r="D54" s="6" t="n">
        <v>0.375</v>
      </c>
      <c r="E54" s="6" t="n">
        <v>7.2</v>
      </c>
      <c r="F54" s="6" t="n">
        <v>2.11</v>
      </c>
      <c r="G54" s="5" t="inlineStr"/>
      <c r="H54" s="5" t="inlineStr"/>
    </row>
    <row r="55">
      <c r="A55" s="3" t="inlineStr">
        <is>
          <t>L3x3x1/2</t>
        </is>
      </c>
      <c r="B55" s="4" t="n">
        <v>3</v>
      </c>
      <c r="C55" s="4" t="n">
        <v>3</v>
      </c>
      <c r="D55" s="4" t="n">
        <v>0.5</v>
      </c>
      <c r="E55" s="4" t="n">
        <v>9.4</v>
      </c>
      <c r="F55" s="4" t="n">
        <v>2.75</v>
      </c>
      <c r="G55" s="3" t="inlineStr"/>
      <c r="H55" s="3" t="inlineStr"/>
    </row>
    <row r="56">
      <c r="A56" s="5" t="inlineStr">
        <is>
          <t>L4x4x1/4</t>
        </is>
      </c>
      <c r="B56" s="6" t="n">
        <v>4</v>
      </c>
      <c r="C56" s="6" t="n">
        <v>4</v>
      </c>
      <c r="D56" s="6" t="n">
        <v>0.25</v>
      </c>
      <c r="E56" s="6" t="n">
        <v>6.6</v>
      </c>
      <c r="F56" s="6" t="n">
        <v>1.94</v>
      </c>
      <c r="G56" s="5" t="inlineStr"/>
      <c r="H56" s="5" t="inlineStr"/>
    </row>
    <row r="57">
      <c r="A57" s="3" t="inlineStr">
        <is>
          <t>L4x4x3/8</t>
        </is>
      </c>
      <c r="B57" s="4" t="n">
        <v>4</v>
      </c>
      <c r="C57" s="4" t="n">
        <v>4</v>
      </c>
      <c r="D57" s="4" t="n">
        <v>0.375</v>
      </c>
      <c r="E57" s="4" t="n">
        <v>9.800000000000001</v>
      </c>
      <c r="F57" s="4" t="n">
        <v>2.86</v>
      </c>
      <c r="G57" s="3" t="inlineStr"/>
      <c r="H57" s="3" t="inlineStr"/>
    </row>
    <row r="58">
      <c r="A58" s="5" t="inlineStr">
        <is>
          <t>L4x4x1/2</t>
        </is>
      </c>
      <c r="B58" s="6" t="n">
        <v>4</v>
      </c>
      <c r="C58" s="6" t="n">
        <v>4</v>
      </c>
      <c r="D58" s="6" t="n">
        <v>0.5</v>
      </c>
      <c r="E58" s="6" t="n">
        <v>12.8</v>
      </c>
      <c r="F58" s="6" t="n">
        <v>3.75</v>
      </c>
      <c r="G58" s="5" t="inlineStr"/>
      <c r="H58" s="5" t="inlineStr"/>
    </row>
    <row r="59">
      <c r="A59" s="3" t="inlineStr">
        <is>
          <t>L5x5x3/8</t>
        </is>
      </c>
      <c r="B59" s="4" t="n">
        <v>5</v>
      </c>
      <c r="C59" s="4" t="n">
        <v>5</v>
      </c>
      <c r="D59" s="4" t="n">
        <v>0.375</v>
      </c>
      <c r="E59" s="4" t="n">
        <v>12.3</v>
      </c>
      <c r="F59" s="4" t="n">
        <v>3.61</v>
      </c>
      <c r="G59" s="3" t="inlineStr"/>
      <c r="H59" s="3" t="inlineStr"/>
    </row>
    <row r="60">
      <c r="A60" s="5" t="inlineStr">
        <is>
          <t>L5x5x1/2</t>
        </is>
      </c>
      <c r="B60" s="6" t="n">
        <v>5</v>
      </c>
      <c r="C60" s="6" t="n">
        <v>5</v>
      </c>
      <c r="D60" s="6" t="n">
        <v>0.5</v>
      </c>
      <c r="E60" s="6" t="n">
        <v>16.2</v>
      </c>
      <c r="F60" s="6" t="n">
        <v>4.75</v>
      </c>
      <c r="G60" s="5" t="inlineStr"/>
      <c r="H60" s="5" t="inlineStr"/>
    </row>
    <row r="61">
      <c r="A61" s="3" t="inlineStr">
        <is>
          <t>L6x6x3/8</t>
        </is>
      </c>
      <c r="B61" s="4" t="n">
        <v>6</v>
      </c>
      <c r="C61" s="4" t="n">
        <v>6</v>
      </c>
      <c r="D61" s="4" t="n">
        <v>0.375</v>
      </c>
      <c r="E61" s="4" t="n">
        <v>14.9</v>
      </c>
      <c r="F61" s="4" t="n">
        <v>4.36</v>
      </c>
      <c r="G61" s="3" t="inlineStr"/>
      <c r="H61" s="3" t="inlineStr"/>
    </row>
    <row r="62">
      <c r="A62" s="5" t="inlineStr">
        <is>
          <t>L6x6x1/2</t>
        </is>
      </c>
      <c r="B62" s="6" t="n">
        <v>6</v>
      </c>
      <c r="C62" s="6" t="n">
        <v>6</v>
      </c>
      <c r="D62" s="6" t="n">
        <v>0.5</v>
      </c>
      <c r="E62" s="6" t="n">
        <v>19.6</v>
      </c>
      <c r="F62" s="6" t="n">
        <v>5.75</v>
      </c>
      <c r="G62" s="5" t="inlineStr"/>
      <c r="H62" s="5" t="inlineStr"/>
    </row>
    <row r="63">
      <c r="A63" s="3" t="inlineStr">
        <is>
          <t>L3x2x1/4</t>
        </is>
      </c>
      <c r="B63" s="4" t="n">
        <v>3</v>
      </c>
      <c r="C63" s="4" t="n">
        <v>2</v>
      </c>
      <c r="D63" s="4" t="n">
        <v>0.25</v>
      </c>
      <c r="E63" s="4" t="n">
        <v>3.92</v>
      </c>
      <c r="F63" s="4" t="n">
        <v>1.15</v>
      </c>
      <c r="G63" s="3" t="inlineStr"/>
      <c r="H63" s="3" t="inlineStr"/>
    </row>
    <row r="64">
      <c r="A64" s="5" t="inlineStr">
        <is>
          <t>L4x3x1/4</t>
        </is>
      </c>
      <c r="B64" s="6" t="n">
        <v>4</v>
      </c>
      <c r="C64" s="6" t="n">
        <v>3</v>
      </c>
      <c r="D64" s="6" t="n">
        <v>0.25</v>
      </c>
      <c r="E64" s="6" t="n">
        <v>5.8</v>
      </c>
      <c r="F64" s="6" t="n">
        <v>1.69</v>
      </c>
      <c r="G64" s="5" t="inlineStr"/>
      <c r="H64" s="5" t="inlineStr"/>
    </row>
    <row r="65">
      <c r="A65" s="3" t="inlineStr">
        <is>
          <t>L4x3x3/8</t>
        </is>
      </c>
      <c r="B65" s="4" t="n">
        <v>4</v>
      </c>
      <c r="C65" s="4" t="n">
        <v>3</v>
      </c>
      <c r="D65" s="4" t="n">
        <v>0.375</v>
      </c>
      <c r="E65" s="4" t="n">
        <v>8.5</v>
      </c>
      <c r="F65" s="4" t="n">
        <v>2.48</v>
      </c>
      <c r="G65" s="3" t="inlineStr"/>
      <c r="H65" s="3" t="inlineStr"/>
    </row>
    <row r="66">
      <c r="A66" s="5" t="inlineStr">
        <is>
          <t>L5x3x1/4</t>
        </is>
      </c>
      <c r="B66" s="6" t="n">
        <v>5</v>
      </c>
      <c r="C66" s="6" t="n">
        <v>3</v>
      </c>
      <c r="D66" s="6" t="n">
        <v>0.25</v>
      </c>
      <c r="E66" s="6" t="n">
        <v>6.6</v>
      </c>
      <c r="F66" s="6" t="n">
        <v>1.94</v>
      </c>
      <c r="G66" s="5" t="inlineStr"/>
      <c r="H66" s="5" t="inlineStr"/>
    </row>
    <row r="67">
      <c r="A67" s="3" t="inlineStr">
        <is>
          <t>L6x4x3/8</t>
        </is>
      </c>
      <c r="B67" s="4" t="n">
        <v>6</v>
      </c>
      <c r="C67" s="4" t="n">
        <v>4</v>
      </c>
      <c r="D67" s="4" t="n">
        <v>0.375</v>
      </c>
      <c r="E67" s="4" t="n">
        <v>12.3</v>
      </c>
      <c r="F67" s="4" t="n">
        <v>3.61</v>
      </c>
      <c r="G67" s="3" t="inlineStr"/>
      <c r="H67" s="3" t="inlineStr"/>
    </row>
    <row r="68">
      <c r="A68" s="5" t="inlineStr">
        <is>
          <t>L6x4x1/2</t>
        </is>
      </c>
      <c r="B68" s="6" t="n">
        <v>6</v>
      </c>
      <c r="C68" s="6" t="n">
        <v>4</v>
      </c>
      <c r="D68" s="6" t="n">
        <v>0.5</v>
      </c>
      <c r="E68" s="6" t="n">
        <v>16.2</v>
      </c>
      <c r="F68" s="6" t="n">
        <v>4.75</v>
      </c>
      <c r="G68" s="5" t="inlineStr"/>
      <c r="H68" s="5" t="inlineStr"/>
    </row>
    <row r="70" ht="22" customHeight="1">
      <c r="A70" s="1" t="inlineStr">
        <is>
          <t>HSS  (Hollow Structural Sections — Square &amp; Rectangular)</t>
        </is>
      </c>
    </row>
    <row r="71" ht="28" customHeight="1">
      <c r="A71" s="2" t="inlineStr">
        <is>
          <t>Designation</t>
        </is>
      </c>
      <c r="B71" s="2" t="inlineStr">
        <is>
          <t>H (in)</t>
        </is>
      </c>
      <c r="C71" s="2" t="inlineStr">
        <is>
          <t>B (in)</t>
        </is>
      </c>
      <c r="D71" s="2" t="inlineStr">
        <is>
          <t>Wall t (in)</t>
        </is>
      </c>
      <c r="E71" s="2" t="inlineStr">
        <is>
          <t>Wt (lb/ft)</t>
        </is>
      </c>
      <c r="F71" s="2" t="inlineStr">
        <is>
          <t>Area (in²)</t>
        </is>
      </c>
      <c r="G71" s="2" t="inlineStr"/>
      <c r="H71" s="2" t="inlineStr"/>
    </row>
    <row r="72">
      <c r="A72" s="3" t="inlineStr">
        <is>
          <t>HSS2x2x3/16</t>
        </is>
      </c>
      <c r="B72" s="4" t="n">
        <v>2</v>
      </c>
      <c r="C72" s="4" t="n">
        <v>2</v>
      </c>
      <c r="D72" s="4" t="n">
        <v>0.174</v>
      </c>
      <c r="E72" s="4" t="n">
        <v>4.32</v>
      </c>
      <c r="F72" s="4" t="n">
        <v>1.27</v>
      </c>
      <c r="G72" s="3" t="inlineStr"/>
      <c r="H72" s="3" t="inlineStr"/>
    </row>
    <row r="73">
      <c r="A73" s="5" t="inlineStr">
        <is>
          <t>HSS2x2x1/4</t>
        </is>
      </c>
      <c r="B73" s="6" t="n">
        <v>2</v>
      </c>
      <c r="C73" s="6" t="n">
        <v>2</v>
      </c>
      <c r="D73" s="6" t="n">
        <v>0.233</v>
      </c>
      <c r="E73" s="6" t="n">
        <v>5.41</v>
      </c>
      <c r="F73" s="6" t="n">
        <v>1.59</v>
      </c>
      <c r="G73" s="5" t="inlineStr"/>
      <c r="H73" s="5" t="inlineStr"/>
    </row>
    <row r="74">
      <c r="A74" s="3" t="inlineStr">
        <is>
          <t>HSS3x3x3/16</t>
        </is>
      </c>
      <c r="B74" s="4" t="n">
        <v>3</v>
      </c>
      <c r="C74" s="4" t="n">
        <v>3</v>
      </c>
      <c r="D74" s="4" t="n">
        <v>0.174</v>
      </c>
      <c r="E74" s="4" t="n">
        <v>6.87</v>
      </c>
      <c r="F74" s="4" t="n">
        <v>2.02</v>
      </c>
      <c r="G74" s="3" t="inlineStr"/>
      <c r="H74" s="3" t="inlineStr"/>
    </row>
    <row r="75">
      <c r="A75" s="5" t="inlineStr">
        <is>
          <t>HSS3x3x1/4</t>
        </is>
      </c>
      <c r="B75" s="6" t="n">
        <v>3</v>
      </c>
      <c r="C75" s="6" t="n">
        <v>3</v>
      </c>
      <c r="D75" s="6" t="n">
        <v>0.233</v>
      </c>
      <c r="E75" s="6" t="n">
        <v>8.81</v>
      </c>
      <c r="F75" s="6" t="n">
        <v>2.59</v>
      </c>
      <c r="G75" s="5" t="inlineStr"/>
      <c r="H75" s="5" t="inlineStr"/>
    </row>
    <row r="76">
      <c r="A76" s="3" t="inlineStr">
        <is>
          <t>HSS4x4x1/4</t>
        </is>
      </c>
      <c r="B76" s="4" t="n">
        <v>4</v>
      </c>
      <c r="C76" s="4" t="n">
        <v>4</v>
      </c>
      <c r="D76" s="4" t="n">
        <v>0.233</v>
      </c>
      <c r="E76" s="4" t="n">
        <v>12.2</v>
      </c>
      <c r="F76" s="4" t="n">
        <v>3.59</v>
      </c>
      <c r="G76" s="3" t="inlineStr"/>
      <c r="H76" s="3" t="inlineStr"/>
    </row>
    <row r="77">
      <c r="A77" s="5" t="inlineStr">
        <is>
          <t>HSS4x4x3/8</t>
        </is>
      </c>
      <c r="B77" s="6" t="n">
        <v>4</v>
      </c>
      <c r="C77" s="6" t="n">
        <v>4</v>
      </c>
      <c r="D77" s="6" t="n">
        <v>0.349</v>
      </c>
      <c r="E77" s="6" t="n">
        <v>17.3</v>
      </c>
      <c r="F77" s="6" t="n">
        <v>5.08</v>
      </c>
      <c r="G77" s="5" t="inlineStr"/>
      <c r="H77" s="5" t="inlineStr"/>
    </row>
    <row r="78">
      <c r="A78" s="3" t="inlineStr">
        <is>
          <t>HSS4x4x1/2</t>
        </is>
      </c>
      <c r="B78" s="4" t="n">
        <v>4</v>
      </c>
      <c r="C78" s="4" t="n">
        <v>4</v>
      </c>
      <c r="D78" s="4" t="n">
        <v>0.465</v>
      </c>
      <c r="E78" s="4" t="n">
        <v>22.4</v>
      </c>
      <c r="F78" s="4" t="n">
        <v>6.59</v>
      </c>
      <c r="G78" s="3" t="inlineStr"/>
      <c r="H78" s="3" t="inlineStr"/>
    </row>
    <row r="79">
      <c r="A79" s="5" t="inlineStr">
        <is>
          <t>HSS5x5x1/4</t>
        </is>
      </c>
      <c r="B79" s="6" t="n">
        <v>5</v>
      </c>
      <c r="C79" s="6" t="n">
        <v>5</v>
      </c>
      <c r="D79" s="6" t="n">
        <v>0.233</v>
      </c>
      <c r="E79" s="6" t="n">
        <v>15.6</v>
      </c>
      <c r="F79" s="6" t="n">
        <v>4.59</v>
      </c>
      <c r="G79" s="5" t="inlineStr"/>
      <c r="H79" s="5" t="inlineStr"/>
    </row>
    <row r="80">
      <c r="A80" s="3" t="inlineStr">
        <is>
          <t>HSS5x5x3/8</t>
        </is>
      </c>
      <c r="B80" s="4" t="n">
        <v>5</v>
      </c>
      <c r="C80" s="4" t="n">
        <v>5</v>
      </c>
      <c r="D80" s="4" t="n">
        <v>0.349</v>
      </c>
      <c r="E80" s="4" t="n">
        <v>22.4</v>
      </c>
      <c r="F80" s="4" t="n">
        <v>6.58</v>
      </c>
      <c r="G80" s="3" t="inlineStr"/>
      <c r="H80" s="3" t="inlineStr"/>
    </row>
    <row r="81">
      <c r="A81" s="5" t="inlineStr">
        <is>
          <t>HSS6x6x1/4</t>
        </is>
      </c>
      <c r="B81" s="6" t="n">
        <v>6</v>
      </c>
      <c r="C81" s="6" t="n">
        <v>6</v>
      </c>
      <c r="D81" s="6" t="n">
        <v>0.233</v>
      </c>
      <c r="E81" s="6" t="n">
        <v>19</v>
      </c>
      <c r="F81" s="6" t="n">
        <v>5.59</v>
      </c>
      <c r="G81" s="5" t="inlineStr"/>
      <c r="H81" s="5" t="inlineStr"/>
    </row>
    <row r="82">
      <c r="A82" s="3" t="inlineStr">
        <is>
          <t>HSS6x6x3/8</t>
        </is>
      </c>
      <c r="B82" s="4" t="n">
        <v>6</v>
      </c>
      <c r="C82" s="4" t="n">
        <v>6</v>
      </c>
      <c r="D82" s="4" t="n">
        <v>0.349</v>
      </c>
      <c r="E82" s="4" t="n">
        <v>27.5</v>
      </c>
      <c r="F82" s="4" t="n">
        <v>8.08</v>
      </c>
      <c r="G82" s="3" t="inlineStr"/>
      <c r="H82" s="3" t="inlineStr"/>
    </row>
    <row r="83">
      <c r="A83" s="5" t="inlineStr">
        <is>
          <t>HSS6x6x1/2</t>
        </is>
      </c>
      <c r="B83" s="6" t="n">
        <v>6</v>
      </c>
      <c r="C83" s="6" t="n">
        <v>6</v>
      </c>
      <c r="D83" s="6" t="n">
        <v>0.465</v>
      </c>
      <c r="E83" s="6" t="n">
        <v>35.1</v>
      </c>
      <c r="F83" s="6" t="n">
        <v>10.3</v>
      </c>
      <c r="G83" s="5" t="inlineStr"/>
      <c r="H83" s="5" t="inlineStr"/>
    </row>
    <row r="84">
      <c r="A84" s="3" t="inlineStr">
        <is>
          <t>HSS8x8x3/8</t>
        </is>
      </c>
      <c r="B84" s="4" t="n">
        <v>8</v>
      </c>
      <c r="C84" s="4" t="n">
        <v>8</v>
      </c>
      <c r="D84" s="4" t="n">
        <v>0.349</v>
      </c>
      <c r="E84" s="4" t="n">
        <v>37.7</v>
      </c>
      <c r="F84" s="4" t="n">
        <v>11.1</v>
      </c>
      <c r="G84" s="3" t="inlineStr"/>
      <c r="H84" s="3" t="inlineStr"/>
    </row>
    <row r="85">
      <c r="A85" s="5" t="inlineStr">
        <is>
          <t>HSS8x8x1/2</t>
        </is>
      </c>
      <c r="B85" s="6" t="n">
        <v>8</v>
      </c>
      <c r="C85" s="6" t="n">
        <v>8</v>
      </c>
      <c r="D85" s="6" t="n">
        <v>0.465</v>
      </c>
      <c r="E85" s="6" t="n">
        <v>48.9</v>
      </c>
      <c r="F85" s="6" t="n">
        <v>14.4</v>
      </c>
      <c r="G85" s="5" t="inlineStr"/>
      <c r="H85" s="5" t="inlineStr"/>
    </row>
    <row r="86">
      <c r="A86" s="3" t="inlineStr">
        <is>
          <t>HSS4x2x3/16</t>
        </is>
      </c>
      <c r="B86" s="4" t="n">
        <v>4</v>
      </c>
      <c r="C86" s="4" t="n">
        <v>2</v>
      </c>
      <c r="D86" s="4" t="n">
        <v>0.174</v>
      </c>
      <c r="E86" s="4" t="n">
        <v>5.59</v>
      </c>
      <c r="F86" s="4" t="n">
        <v>1.64</v>
      </c>
      <c r="G86" s="3" t="inlineStr"/>
      <c r="H86" s="3" t="inlineStr"/>
    </row>
    <row r="87">
      <c r="A87" s="5" t="inlineStr">
        <is>
          <t>HSS4x3x1/4</t>
        </is>
      </c>
      <c r="B87" s="6" t="n">
        <v>4</v>
      </c>
      <c r="C87" s="6" t="n">
        <v>3</v>
      </c>
      <c r="D87" s="6" t="n">
        <v>0.233</v>
      </c>
      <c r="E87" s="6" t="n">
        <v>10.5</v>
      </c>
      <c r="F87" s="6" t="n">
        <v>3.09</v>
      </c>
      <c r="G87" s="5" t="inlineStr"/>
      <c r="H87" s="5" t="inlineStr"/>
    </row>
    <row r="88">
      <c r="A88" s="3" t="inlineStr">
        <is>
          <t>HSS6x4x1/4</t>
        </is>
      </c>
      <c r="B88" s="4" t="n">
        <v>6</v>
      </c>
      <c r="C88" s="4" t="n">
        <v>4</v>
      </c>
      <c r="D88" s="4" t="n">
        <v>0.233</v>
      </c>
      <c r="E88" s="4" t="n">
        <v>15.6</v>
      </c>
      <c r="F88" s="4" t="n">
        <v>4.59</v>
      </c>
      <c r="G88" s="3" t="inlineStr"/>
      <c r="H88" s="3" t="inlineStr"/>
    </row>
    <row r="89">
      <c r="A89" s="5" t="inlineStr">
        <is>
          <t>HSS6x4x3/8</t>
        </is>
      </c>
      <c r="B89" s="6" t="n">
        <v>6</v>
      </c>
      <c r="C89" s="6" t="n">
        <v>4</v>
      </c>
      <c r="D89" s="6" t="n">
        <v>0.349</v>
      </c>
      <c r="E89" s="6" t="n">
        <v>22.4</v>
      </c>
      <c r="F89" s="6" t="n">
        <v>6.59</v>
      </c>
      <c r="G89" s="5" t="inlineStr"/>
      <c r="H89" s="5" t="inlineStr"/>
    </row>
    <row r="90">
      <c r="A90" s="3" t="inlineStr">
        <is>
          <t>HSS8x4x3/8</t>
        </is>
      </c>
      <c r="B90" s="4" t="n">
        <v>8</v>
      </c>
      <c r="C90" s="4" t="n">
        <v>4</v>
      </c>
      <c r="D90" s="4" t="n">
        <v>0.349</v>
      </c>
      <c r="E90" s="4" t="n">
        <v>27.5</v>
      </c>
      <c r="F90" s="4" t="n">
        <v>8.08</v>
      </c>
      <c r="G90" s="3" t="inlineStr"/>
      <c r="H90" s="3" t="inlineStr"/>
    </row>
    <row r="91">
      <c r="A91" s="5" t="inlineStr">
        <is>
          <t>HSS8x6x3/8</t>
        </is>
      </c>
      <c r="B91" s="6" t="n">
        <v>8</v>
      </c>
      <c r="C91" s="6" t="n">
        <v>6</v>
      </c>
      <c r="D91" s="6" t="n">
        <v>0.349</v>
      </c>
      <c r="E91" s="6" t="n">
        <v>32.6</v>
      </c>
      <c r="F91" s="6" t="n">
        <v>9.59</v>
      </c>
      <c r="G91" s="5" t="inlineStr"/>
      <c r="H91" s="5" t="inlineStr"/>
    </row>
  </sheetData>
  <mergeCells count="4">
    <mergeCell ref="A70:H70"/>
    <mergeCell ref="A29:H29"/>
    <mergeCell ref="A47:H4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F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2" customWidth="1" min="4" max="4"/>
    <col width="12" customWidth="1" min="5" max="5"/>
    <col width="12" customWidth="1" min="6" max="6"/>
  </cols>
  <sheetData>
    <row r="1" ht="22" customHeight="1">
      <c r="A1" s="1" t="inlineStr">
        <is>
          <t>PLATE THICKNESS REFERENCE  (Wt/sq ft = thickness × 40.8)</t>
        </is>
      </c>
    </row>
    <row r="2" ht="28" customHeight="1">
      <c r="A2" s="2" t="inlineStr">
        <is>
          <t>Thickness</t>
        </is>
      </c>
      <c r="B2" s="2" t="inlineStr">
        <is>
          <t>Decimal (in)</t>
        </is>
      </c>
      <c r="C2" s="2" t="inlineStr">
        <is>
          <t>Wt (lb/ft²)</t>
        </is>
      </c>
      <c r="D2" s="2" t="inlineStr">
        <is>
          <t>Common Stock (in)</t>
        </is>
      </c>
      <c r="E2" s="2" t="inlineStr"/>
      <c r="F2" s="2" t="inlineStr"/>
    </row>
    <row r="3">
      <c r="A3" s="4" t="inlineStr">
        <is>
          <t>3/16</t>
        </is>
      </c>
      <c r="B3" s="4" t="n">
        <v>0.1875</v>
      </c>
      <c r="C3" s="4" t="n">
        <v>7.65</v>
      </c>
      <c r="D3" s="3" t="inlineStr">
        <is>
          <t>48x96, 60x120</t>
        </is>
      </c>
      <c r="E3" s="3" t="inlineStr"/>
      <c r="F3" s="3" t="inlineStr"/>
    </row>
    <row r="4">
      <c r="A4" s="6" t="inlineStr">
        <is>
          <t>1/4</t>
        </is>
      </c>
      <c r="B4" s="6" t="n">
        <v>0.25</v>
      </c>
      <c r="C4" s="6" t="n">
        <v>10.2</v>
      </c>
      <c r="D4" s="5" t="inlineStr">
        <is>
          <t>48x96, 60x120, 72x120</t>
        </is>
      </c>
      <c r="E4" s="5" t="inlineStr"/>
      <c r="F4" s="5" t="inlineStr"/>
    </row>
    <row r="5">
      <c r="A5" s="4" t="inlineStr">
        <is>
          <t>5/16</t>
        </is>
      </c>
      <c r="B5" s="4" t="n">
        <v>0.3125</v>
      </c>
      <c r="C5" s="4" t="n">
        <v>12.75</v>
      </c>
      <c r="D5" s="3" t="inlineStr">
        <is>
          <t>48x96, 60x120</t>
        </is>
      </c>
      <c r="E5" s="3" t="inlineStr"/>
      <c r="F5" s="3" t="inlineStr"/>
    </row>
    <row r="6">
      <c r="A6" s="6" t="inlineStr">
        <is>
          <t>3/8</t>
        </is>
      </c>
      <c r="B6" s="6" t="n">
        <v>0.375</v>
      </c>
      <c r="C6" s="6" t="n">
        <v>15.3</v>
      </c>
      <c r="D6" s="5" t="inlineStr">
        <is>
          <t>48x96, 60x120, 72x120</t>
        </is>
      </c>
      <c r="E6" s="5" t="inlineStr"/>
      <c r="F6" s="5" t="inlineStr"/>
    </row>
    <row r="7">
      <c r="A7" s="4" t="inlineStr">
        <is>
          <t>1/2</t>
        </is>
      </c>
      <c r="B7" s="4" t="n">
        <v>0.5</v>
      </c>
      <c r="C7" s="4" t="n">
        <v>20.4</v>
      </c>
      <c r="D7" s="3" t="inlineStr">
        <is>
          <t>48x96, 60x120, 72x144</t>
        </is>
      </c>
      <c r="E7" s="3" t="inlineStr"/>
      <c r="F7" s="3" t="inlineStr"/>
    </row>
    <row r="8">
      <c r="A8" s="6" t="inlineStr">
        <is>
          <t>5/8</t>
        </is>
      </c>
      <c r="B8" s="6" t="n">
        <v>0.625</v>
      </c>
      <c r="C8" s="6" t="n">
        <v>25.5</v>
      </c>
      <c r="D8" s="5" t="inlineStr">
        <is>
          <t>48x96, 60x120</t>
        </is>
      </c>
      <c r="E8" s="5" t="inlineStr"/>
      <c r="F8" s="5" t="inlineStr"/>
    </row>
    <row r="9">
      <c r="A9" s="4" t="inlineStr">
        <is>
          <t>3/4</t>
        </is>
      </c>
      <c r="B9" s="4" t="n">
        <v>0.75</v>
      </c>
      <c r="C9" s="4" t="n">
        <v>30.6</v>
      </c>
      <c r="D9" s="3" t="inlineStr">
        <is>
          <t>48x96, 60x120, 72x120</t>
        </is>
      </c>
      <c r="E9" s="3" t="inlineStr"/>
      <c r="F9" s="3" t="inlineStr"/>
    </row>
    <row r="10">
      <c r="A10" s="6" t="inlineStr">
        <is>
          <t>1</t>
        </is>
      </c>
      <c r="B10" s="6" t="n">
        <v>1</v>
      </c>
      <c r="C10" s="6" t="n">
        <v>40.8</v>
      </c>
      <c r="D10" s="5" t="inlineStr">
        <is>
          <t>48x96, 60x120</t>
        </is>
      </c>
      <c r="E10" s="5" t="inlineStr"/>
      <c r="F10" s="5" t="inlineStr"/>
    </row>
    <row r="11">
      <c r="A11" s="4" t="inlineStr">
        <is>
          <t>1-1/4</t>
        </is>
      </c>
      <c r="B11" s="4" t="n">
        <v>1.25</v>
      </c>
      <c r="C11" s="4" t="n">
        <v>51</v>
      </c>
      <c r="D11" s="3" t="inlineStr">
        <is>
          <t>48x96, 60x120</t>
        </is>
      </c>
      <c r="E11" s="3" t="inlineStr"/>
      <c r="F11" s="3" t="inlineStr"/>
    </row>
    <row r="12">
      <c r="A12" s="6" t="inlineStr">
        <is>
          <t>1-1/2</t>
        </is>
      </c>
      <c r="B12" s="6" t="n">
        <v>1.5</v>
      </c>
      <c r="C12" s="6" t="n">
        <v>61.2</v>
      </c>
      <c r="D12" s="5" t="inlineStr">
        <is>
          <t>48x96, 60x120</t>
        </is>
      </c>
      <c r="E12" s="5" t="inlineStr"/>
      <c r="F12" s="5" t="inlineStr"/>
    </row>
    <row r="13">
      <c r="A13" s="4" t="inlineStr">
        <is>
          <t>2</t>
        </is>
      </c>
      <c r="B13" s="4" t="n">
        <v>2</v>
      </c>
      <c r="C13" s="4" t="n">
        <v>81.59999999999999</v>
      </c>
      <c r="D13" s="3" t="inlineStr">
        <is>
          <t>48x96, 60x96</t>
        </is>
      </c>
      <c r="E13" s="3" t="inlineStr"/>
      <c r="F13" s="3" t="inlineStr"/>
    </row>
    <row r="15" ht="22" customHeight="1">
      <c r="A15" s="1" t="inlineStr">
        <is>
          <t>PLATE WEIGHT CALCULATOR  (Yellow = input, Green = result)</t>
        </is>
      </c>
    </row>
    <row r="16">
      <c r="A16" s="7" t="inlineStr">
        <is>
          <t>Thickness (dec in):</t>
        </is>
      </c>
      <c r="B16" s="8" t="n">
        <v>0.25</v>
      </c>
      <c r="C16" s="7" t="inlineStr">
        <is>
          <t>Length (in):</t>
        </is>
      </c>
      <c r="D16" s="8" t="n">
        <v>48</v>
      </c>
      <c r="E16" s="7" t="inlineStr">
        <is>
          <t>Width (in):</t>
        </is>
      </c>
      <c r="F16" s="8" t="n">
        <v>96</v>
      </c>
    </row>
    <row r="17">
      <c r="A17" s="7" t="inlineStr">
        <is>
          <t>Weight (lbs):</t>
        </is>
      </c>
      <c r="B17" s="9">
        <f>B16*40.8*(D16/12)*(F16/12)</f>
        <v/>
      </c>
      <c r="C17" s="10" t="inlineStr">
        <is>
          <t>Formula: t × 40.8 × (L/12) × (W/12)</t>
        </is>
      </c>
    </row>
    <row r="19" ht="22" customHeight="1">
      <c r="A19" s="1" t="inlineStr">
        <is>
          <t>FLAT BAR REFERENCE  (Wt = W × T × 3.4 lb/ft/in²)</t>
        </is>
      </c>
    </row>
    <row r="20" ht="28" customHeight="1">
      <c r="A20" s="2" t="inlineStr">
        <is>
          <t>Size (W x T)</t>
        </is>
      </c>
      <c r="B20" s="2" t="inlineStr">
        <is>
          <t>Width (in)</t>
        </is>
      </c>
      <c r="C20" s="2" t="inlineStr">
        <is>
          <t>Thickness (in)</t>
        </is>
      </c>
      <c r="D20" s="2" t="inlineStr">
        <is>
          <t>Wt (lb/ft)</t>
        </is>
      </c>
      <c r="E20" s="2" t="inlineStr"/>
      <c r="F20" s="2" t="inlineStr"/>
    </row>
    <row r="21">
      <c r="A21" s="4" t="inlineStr">
        <is>
          <t>1 x 1/4</t>
        </is>
      </c>
      <c r="B21" s="4" t="n">
        <v>1</v>
      </c>
      <c r="C21" s="4" t="n">
        <v>0.25</v>
      </c>
      <c r="D21" s="4" t="n">
        <v>0.85</v>
      </c>
      <c r="E21" s="3" t="inlineStr"/>
      <c r="F21" s="3" t="inlineStr"/>
    </row>
    <row r="22">
      <c r="A22" s="6" t="inlineStr">
        <is>
          <t>1 x 3/8</t>
        </is>
      </c>
      <c r="B22" s="6" t="n">
        <v>1</v>
      </c>
      <c r="C22" s="6" t="n">
        <v>0.375</v>
      </c>
      <c r="D22" s="6" t="n">
        <v>1.28</v>
      </c>
      <c r="E22" s="5" t="inlineStr"/>
      <c r="F22" s="5" t="inlineStr"/>
    </row>
    <row r="23">
      <c r="A23" s="4" t="inlineStr">
        <is>
          <t>1 x 1/2</t>
        </is>
      </c>
      <c r="B23" s="4" t="n">
        <v>1</v>
      </c>
      <c r="C23" s="4" t="n">
        <v>0.5</v>
      </c>
      <c r="D23" s="4" t="n">
        <v>1.7</v>
      </c>
      <c r="E23" s="3" t="inlineStr"/>
      <c r="F23" s="3" t="inlineStr"/>
    </row>
    <row r="24">
      <c r="A24" s="6" t="inlineStr">
        <is>
          <t>1-1/2 x 1/4</t>
        </is>
      </c>
      <c r="B24" s="6" t="n">
        <v>1.5</v>
      </c>
      <c r="C24" s="6" t="n">
        <v>0.25</v>
      </c>
      <c r="D24" s="6" t="n">
        <v>1.28</v>
      </c>
      <c r="E24" s="5" t="inlineStr"/>
      <c r="F24" s="5" t="inlineStr"/>
    </row>
    <row r="25">
      <c r="A25" s="4" t="inlineStr">
        <is>
          <t>1-1/2 x 3/8</t>
        </is>
      </c>
      <c r="B25" s="4" t="n">
        <v>1.5</v>
      </c>
      <c r="C25" s="4" t="n">
        <v>0.375</v>
      </c>
      <c r="D25" s="4" t="n">
        <v>1.91</v>
      </c>
      <c r="E25" s="3" t="inlineStr"/>
      <c r="F25" s="3" t="inlineStr"/>
    </row>
    <row r="26">
      <c r="A26" s="6" t="inlineStr">
        <is>
          <t>1-1/2 x 1/2</t>
        </is>
      </c>
      <c r="B26" s="6" t="n">
        <v>1.5</v>
      </c>
      <c r="C26" s="6" t="n">
        <v>0.5</v>
      </c>
      <c r="D26" s="6" t="n">
        <v>2.55</v>
      </c>
      <c r="E26" s="5" t="inlineStr"/>
      <c r="F26" s="5" t="inlineStr"/>
    </row>
    <row r="27">
      <c r="A27" s="4" t="inlineStr">
        <is>
          <t>2 x 1/4</t>
        </is>
      </c>
      <c r="B27" s="4" t="n">
        <v>2</v>
      </c>
      <c r="C27" s="4" t="n">
        <v>0.25</v>
      </c>
      <c r="D27" s="4" t="n">
        <v>1.7</v>
      </c>
      <c r="E27" s="3" t="inlineStr"/>
      <c r="F27" s="3" t="inlineStr"/>
    </row>
    <row r="28">
      <c r="A28" s="6" t="inlineStr">
        <is>
          <t>2 x 3/8</t>
        </is>
      </c>
      <c r="B28" s="6" t="n">
        <v>2</v>
      </c>
      <c r="C28" s="6" t="n">
        <v>0.375</v>
      </c>
      <c r="D28" s="6" t="n">
        <v>2.55</v>
      </c>
      <c r="E28" s="5" t="inlineStr"/>
      <c r="F28" s="5" t="inlineStr"/>
    </row>
    <row r="29">
      <c r="A29" s="4" t="inlineStr">
        <is>
          <t>2 x 1/2</t>
        </is>
      </c>
      <c r="B29" s="4" t="n">
        <v>2</v>
      </c>
      <c r="C29" s="4" t="n">
        <v>0.5</v>
      </c>
      <c r="D29" s="4" t="n">
        <v>3.4</v>
      </c>
      <c r="E29" s="3" t="inlineStr"/>
      <c r="F29" s="3" t="inlineStr"/>
    </row>
    <row r="30">
      <c r="A30" s="6" t="inlineStr">
        <is>
          <t>2 x 3/4</t>
        </is>
      </c>
      <c r="B30" s="6" t="n">
        <v>2</v>
      </c>
      <c r="C30" s="6" t="n">
        <v>0.75</v>
      </c>
      <c r="D30" s="6" t="n">
        <v>5.1</v>
      </c>
      <c r="E30" s="5" t="inlineStr"/>
      <c r="F30" s="5" t="inlineStr"/>
    </row>
    <row r="31">
      <c r="A31" s="4" t="inlineStr">
        <is>
          <t>2-1/2 x 1/4</t>
        </is>
      </c>
      <c r="B31" s="4" t="n">
        <v>2.5</v>
      </c>
      <c r="C31" s="4" t="n">
        <v>0.25</v>
      </c>
      <c r="D31" s="4" t="n">
        <v>2.13</v>
      </c>
      <c r="E31" s="3" t="inlineStr"/>
      <c r="F31" s="3" t="inlineStr"/>
    </row>
    <row r="32">
      <c r="A32" s="6" t="inlineStr">
        <is>
          <t>2-1/2 x 3/8</t>
        </is>
      </c>
      <c r="B32" s="6" t="n">
        <v>2.5</v>
      </c>
      <c r="C32" s="6" t="n">
        <v>0.375</v>
      </c>
      <c r="D32" s="6" t="n">
        <v>3.19</v>
      </c>
      <c r="E32" s="5" t="inlineStr"/>
      <c r="F32" s="5" t="inlineStr"/>
    </row>
    <row r="33">
      <c r="A33" s="4" t="inlineStr">
        <is>
          <t>2-1/2 x 1/2</t>
        </is>
      </c>
      <c r="B33" s="4" t="n">
        <v>2.5</v>
      </c>
      <c r="C33" s="4" t="n">
        <v>0.5</v>
      </c>
      <c r="D33" s="4" t="n">
        <v>4.25</v>
      </c>
      <c r="E33" s="3" t="inlineStr"/>
      <c r="F33" s="3" t="inlineStr"/>
    </row>
    <row r="34">
      <c r="A34" s="6" t="inlineStr">
        <is>
          <t>3 x 1/4</t>
        </is>
      </c>
      <c r="B34" s="6" t="n">
        <v>3</v>
      </c>
      <c r="C34" s="6" t="n">
        <v>0.25</v>
      </c>
      <c r="D34" s="6" t="n">
        <v>2.55</v>
      </c>
      <c r="E34" s="5" t="inlineStr"/>
      <c r="F34" s="5" t="inlineStr"/>
    </row>
    <row r="35">
      <c r="A35" s="4" t="inlineStr">
        <is>
          <t>3 x 3/8</t>
        </is>
      </c>
      <c r="B35" s="4" t="n">
        <v>3</v>
      </c>
      <c r="C35" s="4" t="n">
        <v>0.375</v>
      </c>
      <c r="D35" s="4" t="n">
        <v>3.83</v>
      </c>
      <c r="E35" s="3" t="inlineStr"/>
      <c r="F35" s="3" t="inlineStr"/>
    </row>
    <row r="36">
      <c r="A36" s="6" t="inlineStr">
        <is>
          <t>3 x 1/2</t>
        </is>
      </c>
      <c r="B36" s="6" t="n">
        <v>3</v>
      </c>
      <c r="C36" s="6" t="n">
        <v>0.5</v>
      </c>
      <c r="D36" s="6" t="n">
        <v>5.1</v>
      </c>
      <c r="E36" s="5" t="inlineStr"/>
      <c r="F36" s="5" t="inlineStr"/>
    </row>
    <row r="37">
      <c r="A37" s="4" t="inlineStr">
        <is>
          <t>3 x 3/4</t>
        </is>
      </c>
      <c r="B37" s="4" t="n">
        <v>3</v>
      </c>
      <c r="C37" s="4" t="n">
        <v>0.75</v>
      </c>
      <c r="D37" s="4" t="n">
        <v>7.65</v>
      </c>
      <c r="E37" s="3" t="inlineStr"/>
      <c r="F37" s="3" t="inlineStr"/>
    </row>
    <row r="38">
      <c r="A38" s="6" t="inlineStr">
        <is>
          <t>4 x 1/4</t>
        </is>
      </c>
      <c r="B38" s="6" t="n">
        <v>4</v>
      </c>
      <c r="C38" s="6" t="n">
        <v>0.25</v>
      </c>
      <c r="D38" s="6" t="n">
        <v>3.4</v>
      </c>
      <c r="E38" s="5" t="inlineStr"/>
      <c r="F38" s="5" t="inlineStr"/>
    </row>
    <row r="39">
      <c r="A39" s="4" t="inlineStr">
        <is>
          <t>4 x 3/8</t>
        </is>
      </c>
      <c r="B39" s="4" t="n">
        <v>4</v>
      </c>
      <c r="C39" s="4" t="n">
        <v>0.375</v>
      </c>
      <c r="D39" s="4" t="n">
        <v>5.1</v>
      </c>
      <c r="E39" s="3" t="inlineStr"/>
      <c r="F39" s="3" t="inlineStr"/>
    </row>
    <row r="40">
      <c r="A40" s="6" t="inlineStr">
        <is>
          <t>4 x 1/2</t>
        </is>
      </c>
      <c r="B40" s="6" t="n">
        <v>4</v>
      </c>
      <c r="C40" s="6" t="n">
        <v>0.5</v>
      </c>
      <c r="D40" s="6" t="n">
        <v>6.8</v>
      </c>
      <c r="E40" s="5" t="inlineStr"/>
      <c r="F40" s="5" t="inlineStr"/>
    </row>
    <row r="41">
      <c r="A41" s="4" t="inlineStr">
        <is>
          <t>4 x 3/4</t>
        </is>
      </c>
      <c r="B41" s="4" t="n">
        <v>4</v>
      </c>
      <c r="C41" s="4" t="n">
        <v>0.75</v>
      </c>
      <c r="D41" s="4" t="n">
        <v>10.2</v>
      </c>
      <c r="E41" s="3" t="inlineStr"/>
      <c r="F41" s="3" t="inlineStr"/>
    </row>
    <row r="42">
      <c r="A42" s="6" t="inlineStr">
        <is>
          <t>4 x 1</t>
        </is>
      </c>
      <c r="B42" s="6" t="n">
        <v>4</v>
      </c>
      <c r="C42" s="6" t="n">
        <v>1</v>
      </c>
      <c r="D42" s="6" t="n">
        <v>13.6</v>
      </c>
      <c r="E42" s="5" t="inlineStr"/>
      <c r="F42" s="5" t="inlineStr"/>
    </row>
    <row r="43">
      <c r="A43" s="4" t="inlineStr">
        <is>
          <t>6 x 1/2</t>
        </is>
      </c>
      <c r="B43" s="4" t="n">
        <v>6</v>
      </c>
      <c r="C43" s="4" t="n">
        <v>0.5</v>
      </c>
      <c r="D43" s="4" t="n">
        <v>10.2</v>
      </c>
      <c r="E43" s="3" t="inlineStr"/>
      <c r="F43" s="3" t="inlineStr"/>
    </row>
    <row r="44">
      <c r="A44" s="6" t="inlineStr">
        <is>
          <t>6 x 3/4</t>
        </is>
      </c>
      <c r="B44" s="6" t="n">
        <v>6</v>
      </c>
      <c r="C44" s="6" t="n">
        <v>0.75</v>
      </c>
      <c r="D44" s="6" t="n">
        <v>15.3</v>
      </c>
      <c r="E44" s="5" t="inlineStr"/>
      <c r="F44" s="5" t="inlineStr"/>
    </row>
    <row r="45">
      <c r="A45" s="4" t="inlineStr">
        <is>
          <t>6 x 1</t>
        </is>
      </c>
      <c r="B45" s="4" t="n">
        <v>6</v>
      </c>
      <c r="C45" s="4" t="n">
        <v>1</v>
      </c>
      <c r="D45" s="4" t="n">
        <v>20.4</v>
      </c>
      <c r="E45" s="3" t="inlineStr"/>
      <c r="F45" s="3" t="inlineStr"/>
    </row>
  </sheetData>
  <mergeCells count="3">
    <mergeCell ref="A19:F19"/>
    <mergeCell ref="A1:F1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4" customWidth="1" min="5" max="5"/>
    <col width="13" customWidth="1" min="6" max="6"/>
    <col width="13" customWidth="1" min="7" max="7"/>
    <col width="14" customWidth="1" min="8" max="8"/>
    <col width="18" customWidth="1" min="9" max="9"/>
    <col width="24" customWidth="1" min="10" max="10"/>
  </cols>
  <sheetData>
    <row r="1" ht="22" customHeight="1">
      <c r="A1" s="1" t="inlineStr">
        <is>
          <t>PIPE SIZE &amp; WEIGHT REFERENCE  (ASME B36.10)</t>
        </is>
      </c>
    </row>
    <row r="2" ht="28" customHeight="1">
      <c r="A2" s="2" t="inlineStr">
        <is>
          <t>NPS (in)</t>
        </is>
      </c>
      <c r="B2" s="2" t="inlineStr">
        <is>
          <t>OD (in)</t>
        </is>
      </c>
      <c r="C2" s="2" t="inlineStr">
        <is>
          <t>SCH40 Wall</t>
        </is>
      </c>
      <c r="D2" s="2" t="inlineStr">
        <is>
          <t>SCH40 ID</t>
        </is>
      </c>
      <c r="E2" s="2" t="inlineStr">
        <is>
          <t>SCH40 Wt/ft</t>
        </is>
      </c>
      <c r="F2" s="2" t="inlineStr">
        <is>
          <t>SCH80 Wall</t>
        </is>
      </c>
      <c r="G2" s="2" t="inlineStr">
        <is>
          <t>SCH80 ID</t>
        </is>
      </c>
      <c r="H2" s="2" t="inlineStr">
        <is>
          <t>SCH80 Wt/ft</t>
        </is>
      </c>
      <c r="I2" s="2" t="inlineStr">
        <is>
          <t>Material</t>
        </is>
      </c>
      <c r="J2" s="2" t="inlineStr">
        <is>
          <t>Notes</t>
        </is>
      </c>
    </row>
    <row r="3">
      <c r="A3" s="4" t="inlineStr">
        <is>
          <t>1/2</t>
        </is>
      </c>
      <c r="B3" s="4" t="n">
        <v>0.84</v>
      </c>
      <c r="C3" s="4" t="n">
        <v>0.109</v>
      </c>
      <c r="D3" s="4" t="n">
        <v>0.622</v>
      </c>
      <c r="E3" s="4" t="n">
        <v>0.85</v>
      </c>
      <c r="F3" s="4" t="n">
        <v>0.147</v>
      </c>
      <c r="G3" s="4" t="n">
        <v>0.546</v>
      </c>
      <c r="H3" s="4" t="n">
        <v>1.09</v>
      </c>
      <c r="I3" s="3" t="inlineStr">
        <is>
          <t>A53-B / A106-B</t>
        </is>
      </c>
      <c r="J3" s="3" t="inlineStr"/>
    </row>
    <row r="4">
      <c r="A4" s="6" t="inlineStr">
        <is>
          <t>3/4</t>
        </is>
      </c>
      <c r="B4" s="6" t="n">
        <v>1.05</v>
      </c>
      <c r="C4" s="6" t="n">
        <v>0.113</v>
      </c>
      <c r="D4" s="6" t="n">
        <v>0.824</v>
      </c>
      <c r="E4" s="6" t="n">
        <v>1.13</v>
      </c>
      <c r="F4" s="6" t="n">
        <v>0.154</v>
      </c>
      <c r="G4" s="6" t="n">
        <v>0.742</v>
      </c>
      <c r="H4" s="6" t="n">
        <v>1.47</v>
      </c>
      <c r="I4" s="5" t="inlineStr">
        <is>
          <t>A53-B / A106-B</t>
        </is>
      </c>
      <c r="J4" s="5" t="inlineStr"/>
    </row>
    <row r="5">
      <c r="A5" s="4" t="inlineStr">
        <is>
          <t>1</t>
        </is>
      </c>
      <c r="B5" s="4" t="n">
        <v>1.315</v>
      </c>
      <c r="C5" s="4" t="n">
        <v>0.133</v>
      </c>
      <c r="D5" s="4" t="n">
        <v>1.049</v>
      </c>
      <c r="E5" s="4" t="n">
        <v>1.68</v>
      </c>
      <c r="F5" s="4" t="n">
        <v>0.179</v>
      </c>
      <c r="G5" s="4" t="n">
        <v>0.957</v>
      </c>
      <c r="H5" s="4" t="n">
        <v>2.17</v>
      </c>
      <c r="I5" s="3" t="inlineStr">
        <is>
          <t>A53-B / A106-B</t>
        </is>
      </c>
      <c r="J5" s="3" t="inlineStr"/>
    </row>
    <row r="6">
      <c r="A6" s="6" t="inlineStr">
        <is>
          <t>1-1/4</t>
        </is>
      </c>
      <c r="B6" s="6" t="n">
        <v>1.66</v>
      </c>
      <c r="C6" s="6" t="n">
        <v>0.14</v>
      </c>
      <c r="D6" s="6" t="n">
        <v>1.38</v>
      </c>
      <c r="E6" s="6" t="n">
        <v>2.27</v>
      </c>
      <c r="F6" s="6" t="n">
        <v>0.191</v>
      </c>
      <c r="G6" s="6" t="n">
        <v>1.278</v>
      </c>
      <c r="H6" s="6" t="n">
        <v>3</v>
      </c>
      <c r="I6" s="5" t="inlineStr">
        <is>
          <t>A53-B / A106-B</t>
        </is>
      </c>
      <c r="J6" s="5" t="inlineStr"/>
    </row>
    <row r="7">
      <c r="A7" s="4" t="inlineStr">
        <is>
          <t>1-1/2</t>
        </is>
      </c>
      <c r="B7" s="4" t="n">
        <v>1.9</v>
      </c>
      <c r="C7" s="4" t="n">
        <v>0.145</v>
      </c>
      <c r="D7" s="4" t="n">
        <v>1.61</v>
      </c>
      <c r="E7" s="4" t="n">
        <v>2.72</v>
      </c>
      <c r="F7" s="4" t="n">
        <v>0.2</v>
      </c>
      <c r="G7" s="4" t="n">
        <v>1.5</v>
      </c>
      <c r="H7" s="4" t="n">
        <v>3.63</v>
      </c>
      <c r="I7" s="3" t="inlineStr">
        <is>
          <t>A53-B / A106-B</t>
        </is>
      </c>
      <c r="J7" s="3" t="inlineStr">
        <is>
          <t>Common handrail</t>
        </is>
      </c>
    </row>
    <row r="8">
      <c r="A8" s="6" t="inlineStr">
        <is>
          <t>2</t>
        </is>
      </c>
      <c r="B8" s="6" t="n">
        <v>2.375</v>
      </c>
      <c r="C8" s="6" t="n">
        <v>0.154</v>
      </c>
      <c r="D8" s="6" t="n">
        <v>2.067</v>
      </c>
      <c r="E8" s="6" t="n">
        <v>3.65</v>
      </c>
      <c r="F8" s="6" t="n">
        <v>0.218</v>
      </c>
      <c r="G8" s="6" t="n">
        <v>1.939</v>
      </c>
      <c r="H8" s="6" t="n">
        <v>5.02</v>
      </c>
      <c r="I8" s="5" t="inlineStr">
        <is>
          <t>A53-B / A106-B</t>
        </is>
      </c>
      <c r="J8" s="5" t="inlineStr">
        <is>
          <t>Common support</t>
        </is>
      </c>
    </row>
    <row r="9">
      <c r="A9" s="4" t="inlineStr">
        <is>
          <t>2-1/2</t>
        </is>
      </c>
      <c r="B9" s="4" t="n">
        <v>2.875</v>
      </c>
      <c r="C9" s="4" t="n">
        <v>0.203</v>
      </c>
      <c r="D9" s="4" t="n">
        <v>2.469</v>
      </c>
      <c r="E9" s="4" t="n">
        <v>5.79</v>
      </c>
      <c r="F9" s="4" t="n">
        <v>0.276</v>
      </c>
      <c r="G9" s="4" t="n">
        <v>2.323</v>
      </c>
      <c r="H9" s="4" t="n">
        <v>7.66</v>
      </c>
      <c r="I9" s="3" t="inlineStr">
        <is>
          <t>A53-B / A106-B</t>
        </is>
      </c>
      <c r="J9" s="3" t="inlineStr"/>
    </row>
    <row r="10">
      <c r="A10" s="6" t="inlineStr">
        <is>
          <t>3</t>
        </is>
      </c>
      <c r="B10" s="6" t="n">
        <v>3.5</v>
      </c>
      <c r="C10" s="6" t="n">
        <v>0.216</v>
      </c>
      <c r="D10" s="6" t="n">
        <v>3.068</v>
      </c>
      <c r="E10" s="6" t="n">
        <v>7.58</v>
      </c>
      <c r="F10" s="6" t="n">
        <v>0.3</v>
      </c>
      <c r="G10" s="6" t="n">
        <v>2.9</v>
      </c>
      <c r="H10" s="6" t="n">
        <v>10.25</v>
      </c>
      <c r="I10" s="5" t="inlineStr">
        <is>
          <t>A53-B / A106-B</t>
        </is>
      </c>
      <c r="J10" s="5" t="inlineStr"/>
    </row>
    <row r="11">
      <c r="A11" s="4" t="inlineStr">
        <is>
          <t>3-1/2</t>
        </is>
      </c>
      <c r="B11" s="4" t="n">
        <v>4</v>
      </c>
      <c r="C11" s="4" t="n">
        <v>0.226</v>
      </c>
      <c r="D11" s="4" t="n">
        <v>3.548</v>
      </c>
      <c r="E11" s="4" t="n">
        <v>9.109999999999999</v>
      </c>
      <c r="F11" s="4" t="n">
        <v>0.318</v>
      </c>
      <c r="G11" s="4" t="n">
        <v>3.364</v>
      </c>
      <c r="H11" s="4" t="n">
        <v>12.5</v>
      </c>
      <c r="I11" s="3" t="inlineStr">
        <is>
          <t>A53-B / A106-B</t>
        </is>
      </c>
      <c r="J11" s="3" t="inlineStr"/>
    </row>
    <row r="12">
      <c r="A12" s="6" t="inlineStr">
        <is>
          <t>4</t>
        </is>
      </c>
      <c r="B12" s="6" t="n">
        <v>4.5</v>
      </c>
      <c r="C12" s="6" t="n">
        <v>0.237</v>
      </c>
      <c r="D12" s="6" t="n">
        <v>4.026</v>
      </c>
      <c r="E12" s="6" t="n">
        <v>10.79</v>
      </c>
      <c r="F12" s="6" t="n">
        <v>0.337</v>
      </c>
      <c r="G12" s="6" t="n">
        <v>3.826</v>
      </c>
      <c r="H12" s="6" t="n">
        <v>14.98</v>
      </c>
      <c r="I12" s="5" t="inlineStr">
        <is>
          <t>A53-B / A106-B</t>
        </is>
      </c>
      <c r="J12" s="5" t="inlineStr"/>
    </row>
    <row r="13">
      <c r="A13" s="4" t="inlineStr">
        <is>
          <t>5</t>
        </is>
      </c>
      <c r="B13" s="4" t="n">
        <v>5.563</v>
      </c>
      <c r="C13" s="4" t="n">
        <v>0.258</v>
      </c>
      <c r="D13" s="4" t="n">
        <v>5.047</v>
      </c>
      <c r="E13" s="4" t="n">
        <v>14.62</v>
      </c>
      <c r="F13" s="4" t="n">
        <v>0.375</v>
      </c>
      <c r="G13" s="4" t="n">
        <v>4.813</v>
      </c>
      <c r="H13" s="4" t="n">
        <v>20.78</v>
      </c>
      <c r="I13" s="3" t="inlineStr">
        <is>
          <t>A53-B / A106-B</t>
        </is>
      </c>
      <c r="J13" s="3" t="inlineStr"/>
    </row>
    <row r="14">
      <c r="A14" s="6" t="inlineStr">
        <is>
          <t>6</t>
        </is>
      </c>
      <c r="B14" s="6" t="n">
        <v>6.625</v>
      </c>
      <c r="C14" s="6" t="n">
        <v>0.28</v>
      </c>
      <c r="D14" s="6" t="n">
        <v>6.065</v>
      </c>
      <c r="E14" s="6" t="n">
        <v>18.97</v>
      </c>
      <c r="F14" s="6" t="n">
        <v>0.432</v>
      </c>
      <c r="G14" s="6" t="n">
        <v>5.761</v>
      </c>
      <c r="H14" s="6" t="n">
        <v>28.57</v>
      </c>
      <c r="I14" s="5" t="inlineStr">
        <is>
          <t>A53-B / A106-B</t>
        </is>
      </c>
      <c r="J14" s="5" t="inlineStr"/>
    </row>
    <row r="15">
      <c r="A15" s="4" t="inlineStr">
        <is>
          <t>8</t>
        </is>
      </c>
      <c r="B15" s="4" t="n">
        <v>8.625</v>
      </c>
      <c r="C15" s="4" t="n">
        <v>0.322</v>
      </c>
      <c r="D15" s="4" t="n">
        <v>7.981</v>
      </c>
      <c r="E15" s="4" t="n">
        <v>28.55</v>
      </c>
      <c r="F15" s="4" t="n">
        <v>0.5</v>
      </c>
      <c r="G15" s="4" t="n">
        <v>7.625</v>
      </c>
      <c r="H15" s="4" t="n">
        <v>43.39</v>
      </c>
      <c r="I15" s="3" t="inlineStr">
        <is>
          <t>A53-B / A106-B</t>
        </is>
      </c>
      <c r="J15" s="3" t="inlineStr"/>
    </row>
    <row r="16">
      <c r="A16" s="6" t="inlineStr">
        <is>
          <t>10</t>
        </is>
      </c>
      <c r="B16" s="6" t="n">
        <v>10.75</v>
      </c>
      <c r="C16" s="6" t="n">
        <v>0.365</v>
      </c>
      <c r="D16" s="6" t="n">
        <v>10.02</v>
      </c>
      <c r="E16" s="6" t="n">
        <v>40.48</v>
      </c>
      <c r="F16" s="6" t="n">
        <v>0.5</v>
      </c>
      <c r="G16" s="6" t="n">
        <v>9.75</v>
      </c>
      <c r="H16" s="6" t="n">
        <v>54.74</v>
      </c>
      <c r="I16" s="5" t="inlineStr">
        <is>
          <t>A53-B / A106-B</t>
        </is>
      </c>
      <c r="J16" s="5" t="inlineStr"/>
    </row>
    <row r="17">
      <c r="A17" s="4" t="inlineStr">
        <is>
          <t>12</t>
        </is>
      </c>
      <c r="B17" s="4" t="n">
        <v>12.75</v>
      </c>
      <c r="C17" s="4" t="n">
        <v>0.406</v>
      </c>
      <c r="D17" s="4" t="n">
        <v>11.938</v>
      </c>
      <c r="E17" s="4" t="n">
        <v>53.52</v>
      </c>
      <c r="F17" s="4" t="n">
        <v>0.5</v>
      </c>
      <c r="G17" s="4" t="n">
        <v>11.75</v>
      </c>
      <c r="H17" s="4" t="n">
        <v>65.42</v>
      </c>
      <c r="I17" s="3" t="inlineStr">
        <is>
          <t>A53-B / A106-B</t>
        </is>
      </c>
      <c r="J17" s="3" t="inlineStr"/>
    </row>
    <row r="19" ht="22" customHeight="1">
      <c r="A19" s="1" t="inlineStr">
        <is>
          <t>PIPE WEIGHT CALCULATOR  (Pick NPS + Schedule, enter length)</t>
        </is>
      </c>
    </row>
    <row r="20">
      <c r="A20" s="7" t="inlineStr">
        <is>
          <t>NPS:</t>
        </is>
      </c>
      <c r="B20" s="8" t="inlineStr">
        <is>
          <t>2</t>
        </is>
      </c>
      <c r="C20" s="7" t="inlineStr">
        <is>
          <t>Schedule:</t>
        </is>
      </c>
      <c r="D20" s="8" t="inlineStr">
        <is>
          <t>SCH 40</t>
        </is>
      </c>
    </row>
    <row r="21">
      <c r="A21" s="7" t="inlineStr">
        <is>
          <t>Length (ft):</t>
        </is>
      </c>
      <c r="B21" s="8" t="n">
        <v>10</v>
      </c>
    </row>
    <row r="22">
      <c r="A22" s="7" t="inlineStr">
        <is>
          <t>Wt/ft (lb/ft):</t>
        </is>
      </c>
      <c r="B22" s="11">
        <f>IF(D20="SCH 40",INDEX($E$3:$E$17,MATCH(B20,$A$3:$A$17,0)),INDEX($H$3:$H$17,MATCH(B20,$A$3:$A$17,0)))</f>
        <v/>
      </c>
    </row>
    <row r="23">
      <c r="A23" s="7" t="inlineStr">
        <is>
          <t>Total Weight (lbs):</t>
        </is>
      </c>
      <c r="B23" s="9">
        <f>B22*B21</f>
        <v/>
      </c>
    </row>
  </sheetData>
  <mergeCells count="2">
    <mergeCell ref="A1:J1"/>
    <mergeCell ref="A19:J19"/>
  </mergeCells>
  <dataValidations count="2">
    <dataValidation sqref="B20" showDropDown="0" showInputMessage="0" showErrorMessage="0" allowBlank="1" type="list">
      <formula1>"1/2,3/4,1,1-1/4,1-1/2,2,2-1/2,3,3-1/2,4,5,6,8,10,12"</formula1>
    </dataValidation>
    <dataValidation sqref="D20" showDropDown="0" showInputMessage="0" showErrorMessage="0" allowBlank="1" type="list">
      <formula1>"SCH 40,SCH 80"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43C0C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38" customWidth="1" min="4" max="4"/>
    <col width="14" customWidth="1" min="5" max="5"/>
    <col width="40" customWidth="1" min="6" max="6"/>
  </cols>
  <sheetData>
    <row r="1" ht="22" customHeight="1">
      <c r="A1" s="1" t="inlineStr">
        <is>
          <t>STRUCTURAL STEEL MATERIAL GRADES  (Quick Reference)</t>
        </is>
      </c>
    </row>
    <row r="2" ht="28" customHeight="1">
      <c r="A2" s="2" t="inlineStr">
        <is>
          <t>Grade</t>
        </is>
      </c>
      <c r="B2" s="2" t="inlineStr">
        <is>
          <t>Fy (ksi)</t>
        </is>
      </c>
      <c r="C2" s="2" t="inlineStr">
        <is>
          <t>Fu (ksi)</t>
        </is>
      </c>
      <c r="D2" s="2" t="inlineStr">
        <is>
          <t>Typical Use</t>
        </is>
      </c>
      <c r="E2" s="2" t="inlineStr">
        <is>
          <t>Weldability</t>
        </is>
      </c>
      <c r="F2" s="2" t="inlineStr">
        <is>
          <t>Notes</t>
        </is>
      </c>
    </row>
    <row r="3">
      <c r="A3" s="3" t="inlineStr">
        <is>
          <t>A36</t>
        </is>
      </c>
      <c r="B3" s="4" t="inlineStr">
        <is>
          <t>36</t>
        </is>
      </c>
      <c r="C3" s="4" t="inlineStr">
        <is>
          <t>58-80</t>
        </is>
      </c>
      <c r="D3" s="3" t="inlineStr">
        <is>
          <t>Plates, angles, channels, misc steel</t>
        </is>
      </c>
      <c r="E3" s="4" t="inlineStr">
        <is>
          <t>Good</t>
        </is>
      </c>
      <c r="F3" s="3" t="inlineStr">
        <is>
          <t>E70xx; most common general grade</t>
        </is>
      </c>
    </row>
    <row r="4">
      <c r="A4" s="5" t="inlineStr">
        <is>
          <t>A572 Gr50</t>
        </is>
      </c>
      <c r="B4" s="6" t="inlineStr">
        <is>
          <t>50</t>
        </is>
      </c>
      <c r="C4" s="6" t="inlineStr">
        <is>
          <t>65</t>
        </is>
      </c>
      <c r="D4" s="5" t="inlineStr">
        <is>
          <t>W-shapes, beams, columns</t>
        </is>
      </c>
      <c r="E4" s="6" t="inlineStr">
        <is>
          <t>Good</t>
        </is>
      </c>
      <c r="F4" s="5" t="inlineStr">
        <is>
          <t>E70xx; higher strength than A36</t>
        </is>
      </c>
    </row>
    <row r="5">
      <c r="A5" s="3" t="inlineStr">
        <is>
          <t>A992</t>
        </is>
      </c>
      <c r="B5" s="4" t="inlineStr">
        <is>
          <t>50+</t>
        </is>
      </c>
      <c r="C5" s="4" t="inlineStr">
        <is>
          <t>65</t>
        </is>
      </c>
      <c r="D5" s="3" t="inlineStr">
        <is>
          <t>W-shapes (modern standard)</t>
        </is>
      </c>
      <c r="E5" s="4" t="inlineStr">
        <is>
          <t>Good</t>
        </is>
      </c>
      <c r="F5" s="3" t="inlineStr">
        <is>
          <t>Max Fy/Fu = 0.85; preferred for W-shapes</t>
        </is>
      </c>
    </row>
    <row r="6">
      <c r="A6" s="5" t="inlineStr">
        <is>
          <t>A500 Gr B</t>
        </is>
      </c>
      <c r="B6" s="6" t="inlineStr">
        <is>
          <t>46</t>
        </is>
      </c>
      <c r="C6" s="6" t="inlineStr">
        <is>
          <t>58</t>
        </is>
      </c>
      <c r="D6" s="5" t="inlineStr">
        <is>
          <t>HSS rectangular/square</t>
        </is>
      </c>
      <c r="E6" s="6" t="inlineStr">
        <is>
          <t>Good</t>
        </is>
      </c>
      <c r="F6" s="5" t="inlineStr">
        <is>
          <t>E70xx; check heat properties</t>
        </is>
      </c>
    </row>
    <row r="7">
      <c r="A7" s="3" t="inlineStr">
        <is>
          <t>A500 Gr C</t>
        </is>
      </c>
      <c r="B7" s="4" t="inlineStr">
        <is>
          <t>50</t>
        </is>
      </c>
      <c r="C7" s="4" t="inlineStr">
        <is>
          <t>62</t>
        </is>
      </c>
      <c r="D7" s="3" t="inlineStr">
        <is>
          <t>HSS rectangular/square</t>
        </is>
      </c>
      <c r="E7" s="4" t="inlineStr">
        <is>
          <t>Good</t>
        </is>
      </c>
      <c r="F7" s="3" t="inlineStr">
        <is>
          <t>Higher strength HSS option</t>
        </is>
      </c>
    </row>
    <row r="8">
      <c r="A8" s="5" t="inlineStr">
        <is>
          <t>A53-B</t>
        </is>
      </c>
      <c r="B8" s="6" t="inlineStr">
        <is>
          <t>35</t>
        </is>
      </c>
      <c r="C8" s="6" t="inlineStr">
        <is>
          <t>60</t>
        </is>
      </c>
      <c r="D8" s="5" t="inlineStr">
        <is>
          <t>Structural pipe</t>
        </is>
      </c>
      <c r="E8" s="6" t="inlineStr">
        <is>
          <t>Fair</t>
        </is>
      </c>
      <c r="F8" s="5" t="inlineStr">
        <is>
          <t>Preheat for heavy walls; E7018</t>
        </is>
      </c>
    </row>
    <row r="9">
      <c r="A9" s="3" t="inlineStr">
        <is>
          <t>A106-B</t>
        </is>
      </c>
      <c r="B9" s="4" t="inlineStr">
        <is>
          <t>35</t>
        </is>
      </c>
      <c r="C9" s="4" t="inlineStr">
        <is>
          <t>60</t>
        </is>
      </c>
      <c r="D9" s="3" t="inlineStr">
        <is>
          <t>High-temp service pipe</t>
        </is>
      </c>
      <c r="E9" s="4" t="inlineStr">
        <is>
          <t>Fair</t>
        </is>
      </c>
      <c r="F9" s="3" t="inlineStr">
        <is>
          <t>Common in O&amp;G process piping; E7018</t>
        </is>
      </c>
    </row>
    <row r="10">
      <c r="A10" s="5" t="inlineStr">
        <is>
          <t>A108</t>
        </is>
      </c>
      <c r="B10" s="6" t="inlineStr">
        <is>
          <t>Var.</t>
        </is>
      </c>
      <c r="C10" s="6" t="inlineStr">
        <is>
          <t>Var.</t>
        </is>
      </c>
      <c r="D10" s="5" t="inlineStr">
        <is>
          <t>Bolts, studs, shafting</t>
        </is>
      </c>
      <c r="E10" s="6" t="inlineStr">
        <is>
          <t>N/A</t>
        </is>
      </c>
      <c r="F10" s="5" t="inlineStr">
        <is>
          <t>Not for primary structural welding</t>
        </is>
      </c>
    </row>
    <row r="12" ht="22" customHeight="1">
      <c r="A12" s="1" t="inlineStr">
        <is>
          <t>WELDING ELECTRODE QUICK REFERENCE</t>
        </is>
      </c>
    </row>
    <row r="13" ht="28" customHeight="1">
      <c r="A13" s="2" t="inlineStr">
        <is>
          <t>Electrode</t>
        </is>
      </c>
      <c r="B13" s="2" t="inlineStr">
        <is>
          <t>Min Tensile</t>
        </is>
      </c>
      <c r="C13" s="2" t="inlineStr">
        <is>
          <t>Process</t>
        </is>
      </c>
      <c r="D13" s="2" t="inlineStr">
        <is>
          <t>Typical Use</t>
        </is>
      </c>
      <c r="E13" s="2" t="inlineStr">
        <is>
          <t>Notes</t>
        </is>
      </c>
      <c r="F13" s="2" t="inlineStr"/>
    </row>
    <row r="14">
      <c r="A14" s="4" t="inlineStr">
        <is>
          <t>E7018</t>
        </is>
      </c>
      <c r="B14" s="4" t="inlineStr">
        <is>
          <t>70</t>
        </is>
      </c>
      <c r="C14" s="4" t="inlineStr">
        <is>
          <t>SMAW (Stick)</t>
        </is>
      </c>
      <c r="D14" s="3" t="inlineStr">
        <is>
          <t>Primary structural; low hydrogen</t>
        </is>
      </c>
      <c r="E14" s="3" t="inlineStr">
        <is>
          <t>Preferred for A53/A106 pipe</t>
        </is>
      </c>
      <c r="F14" s="3" t="inlineStr"/>
    </row>
    <row r="15">
      <c r="A15" s="6" t="inlineStr">
        <is>
          <t>E70XX</t>
        </is>
      </c>
      <c r="B15" s="6" t="inlineStr">
        <is>
          <t>70</t>
        </is>
      </c>
      <c r="C15" s="6" t="inlineStr">
        <is>
          <t>SMAW (Stick)</t>
        </is>
      </c>
      <c r="D15" s="5" t="inlineStr">
        <is>
          <t>General structural fillet/groove</t>
        </is>
      </c>
      <c r="E15" s="5" t="inlineStr">
        <is>
          <t>Matches A36/A572/A992</t>
        </is>
      </c>
      <c r="F15" s="5" t="inlineStr"/>
    </row>
    <row r="16">
      <c r="A16" s="4" t="inlineStr">
        <is>
          <t>E6010</t>
        </is>
      </c>
      <c r="B16" s="4" t="inlineStr">
        <is>
          <t>62</t>
        </is>
      </c>
      <c r="C16" s="4" t="inlineStr">
        <is>
          <t>SMAW (Stick)</t>
        </is>
      </c>
      <c r="D16" s="3" t="inlineStr">
        <is>
          <t>Root pass, field welding</t>
        </is>
      </c>
      <c r="E16" s="3" t="inlineStr">
        <is>
          <t>DC+; burns through rust/scale</t>
        </is>
      </c>
      <c r="F16" s="3" t="inlineStr"/>
    </row>
    <row r="17">
      <c r="A17" s="6" t="inlineStr">
        <is>
          <t>E6013</t>
        </is>
      </c>
      <c r="B17" s="6" t="inlineStr">
        <is>
          <t>62</t>
        </is>
      </c>
      <c r="C17" s="6" t="inlineStr">
        <is>
          <t>SMAW (Stick)</t>
        </is>
      </c>
      <c r="D17" s="5" t="inlineStr">
        <is>
          <t>Light fab, sheet metal</t>
        </is>
      </c>
      <c r="E17" s="5" t="inlineStr">
        <is>
          <t>AC or DC; easy for beginners</t>
        </is>
      </c>
      <c r="F17" s="5" t="inlineStr"/>
    </row>
    <row r="18">
      <c r="A18" s="4" t="inlineStr">
        <is>
          <t>ER70S-6</t>
        </is>
      </c>
      <c r="B18" s="4" t="inlineStr">
        <is>
          <t>70</t>
        </is>
      </c>
      <c r="C18" s="4" t="inlineStr">
        <is>
          <t>GMAW (MIG)</t>
        </is>
      </c>
      <c r="D18" s="3" t="inlineStr">
        <is>
          <t>Shop fillet welds, general fab</t>
        </is>
      </c>
      <c r="E18" s="3" t="inlineStr">
        <is>
          <t>CO2 or 75/25 Ar/CO2 gas</t>
        </is>
      </c>
      <c r="F18" s="3" t="inlineStr"/>
    </row>
    <row r="19">
      <c r="A19" s="6" t="inlineStr">
        <is>
          <t>E71T-1</t>
        </is>
      </c>
      <c r="B19" s="6" t="inlineStr">
        <is>
          <t>70</t>
        </is>
      </c>
      <c r="C19" s="6" t="inlineStr">
        <is>
          <t>FCAW</t>
        </is>
      </c>
      <c r="D19" s="5" t="inlineStr">
        <is>
          <t>High-production fillet welds</t>
        </is>
      </c>
      <c r="E19" s="5" t="inlineStr">
        <is>
          <t>CO2 shielding; fast deposition</t>
        </is>
      </c>
      <c r="F19" s="5" t="inlineStr"/>
    </row>
    <row r="22">
      <c r="A22" s="10" t="inlineStr">
        <is>
          <t>• E70xx electrodes match A36, A572, A992 (tensile ≥ 70 ksi)</t>
        </is>
      </c>
    </row>
    <row r="23">
      <c r="A23" s="10" t="inlineStr">
        <is>
          <t>• Use E7018 (low hydrogen) on A53-B / A106-B pipe per most WPS</t>
        </is>
      </c>
    </row>
    <row r="24">
      <c r="A24" s="10" t="inlineStr">
        <is>
          <t>• Always verify material grade from Mill Test Report (MTR)</t>
        </is>
      </c>
    </row>
    <row r="25">
      <c r="A25" s="10" t="inlineStr">
        <is>
          <t>• A992 is current standard for W-shapes</t>
        </is>
      </c>
    </row>
    <row r="26">
      <c r="A26" s="10" t="inlineStr">
        <is>
          <t>• A500 Gr B/C is used for HSS — verify per PO</t>
        </is>
      </c>
    </row>
  </sheetData>
  <mergeCells count="7">
    <mergeCell ref="A24:F24"/>
    <mergeCell ref="A1:F1"/>
    <mergeCell ref="A23:F23"/>
    <mergeCell ref="A22:F22"/>
    <mergeCell ref="A12:F12"/>
    <mergeCell ref="A26:F26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38135"/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8" customWidth="1" min="3" max="3"/>
    <col width="32" customWidth="1" min="4" max="4"/>
    <col width="40" customWidth="1" min="5" max="5"/>
  </cols>
  <sheetData>
    <row r="1" ht="22" customHeight="1">
      <c r="A1" s="1" t="inlineStr">
        <is>
          <t>HANDRAIL — OSHA &amp; SHOP STANDARDS</t>
        </is>
      </c>
    </row>
    <row r="2" ht="28" customHeight="1">
      <c r="A2" s="2" t="inlineStr">
        <is>
          <t>Item</t>
        </is>
      </c>
      <c r="B2" s="2" t="inlineStr">
        <is>
          <t>Value / Spec</t>
        </is>
      </c>
      <c r="C2" s="2" t="inlineStr">
        <is>
          <t>Code Reference</t>
        </is>
      </c>
      <c r="D2" s="2" t="inlineStr"/>
      <c r="E2" s="2" t="inlineStr"/>
    </row>
    <row r="3">
      <c r="A3" s="3" t="inlineStr">
        <is>
          <t>Top Rail Height</t>
        </is>
      </c>
      <c r="B3" s="3" t="inlineStr">
        <is>
          <t>42" nominal (min 42")</t>
        </is>
      </c>
      <c r="C3" s="3" t="inlineStr">
        <is>
          <t>OSHA 1910.29</t>
        </is>
      </c>
      <c r="D3" s="3" t="inlineStr"/>
      <c r="E3" s="3" t="inlineStr"/>
    </row>
    <row r="4">
      <c r="A4" s="5" t="inlineStr">
        <is>
          <t>Mid Rail Height</t>
        </is>
      </c>
      <c r="B4" s="5" t="inlineStr">
        <is>
          <t>21" (midpoint)</t>
        </is>
      </c>
      <c r="C4" s="5" t="inlineStr">
        <is>
          <t>Required when opening &gt; 19"</t>
        </is>
      </c>
      <c r="D4" s="5" t="inlineStr"/>
      <c r="E4" s="5" t="inlineStr"/>
    </row>
    <row r="5">
      <c r="A5" s="3" t="inlineStr">
        <is>
          <t>Toeboard Height</t>
        </is>
      </c>
      <c r="B5" s="3" t="inlineStr">
        <is>
          <t>3-1/2" min</t>
        </is>
      </c>
      <c r="C5" s="3" t="inlineStr">
        <is>
          <t>Prevents tools/objects from rolling off</t>
        </is>
      </c>
      <c r="D5" s="3" t="inlineStr"/>
      <c r="E5" s="3" t="inlineStr"/>
    </row>
    <row r="6">
      <c r="A6" s="5" t="inlineStr">
        <is>
          <t>Max Post Spacing</t>
        </is>
      </c>
      <c r="B6" s="5" t="inlineStr">
        <is>
          <t>8'-0" typical</t>
        </is>
      </c>
      <c r="C6" s="5" t="inlineStr">
        <is>
          <t>Check project spec</t>
        </is>
      </c>
      <c r="D6" s="5" t="inlineStr"/>
      <c r="E6" s="5" t="inlineStr"/>
    </row>
    <row r="7">
      <c r="A7" s="3" t="inlineStr">
        <is>
          <t>Top Rail Min Strength</t>
        </is>
      </c>
      <c r="B7" s="3" t="inlineStr">
        <is>
          <t>200 lbs</t>
        </is>
      </c>
      <c r="C7" s="3" t="inlineStr">
        <is>
          <t>OSHA load requirement</t>
        </is>
      </c>
      <c r="D7" s="3" t="inlineStr"/>
      <c r="E7" s="3" t="inlineStr"/>
    </row>
    <row r="8">
      <c r="A8" s="5" t="inlineStr">
        <is>
          <t>Mid Rail Min Strength</t>
        </is>
      </c>
      <c r="B8" s="5" t="inlineStr">
        <is>
          <t>150 lbs</t>
        </is>
      </c>
      <c r="C8" s="5" t="inlineStr">
        <is>
          <t>OSHA load requirement</t>
        </is>
      </c>
      <c r="D8" s="5" t="inlineStr"/>
      <c r="E8" s="5" t="inlineStr"/>
    </row>
    <row r="9">
      <c r="A9" s="3" t="inlineStr">
        <is>
          <t>Gate Opening Clear</t>
        </is>
      </c>
      <c r="B9" s="3" t="inlineStr">
        <is>
          <t>22" min</t>
        </is>
      </c>
      <c r="C9" s="3" t="inlineStr">
        <is>
          <t>Self-closing at stair openings</t>
        </is>
      </c>
      <c r="D9" s="3" t="inlineStr"/>
      <c r="E9" s="3" t="inlineStr"/>
    </row>
    <row r="11" ht="22" customHeight="1">
      <c r="A11" s="1" t="inlineStr">
        <is>
          <t>COMPONENT REFERENCE</t>
        </is>
      </c>
    </row>
    <row r="12" ht="28" customHeight="1">
      <c r="A12" s="2" t="inlineStr">
        <is>
          <t>Component</t>
        </is>
      </c>
      <c r="B12" s="2" t="inlineStr">
        <is>
          <t>Mat'l Opt 1</t>
        </is>
      </c>
      <c r="C12" s="2" t="inlineStr">
        <is>
          <t>Mat'l Opt 2</t>
        </is>
      </c>
      <c r="D12" s="2" t="inlineStr">
        <is>
          <t>Typical Size</t>
        </is>
      </c>
      <c r="E12" s="2" t="inlineStr">
        <is>
          <t>Notes</t>
        </is>
      </c>
    </row>
    <row r="13">
      <c r="A13" s="3" t="inlineStr">
        <is>
          <t>Top Rail</t>
        </is>
      </c>
      <c r="B13" s="3" t="inlineStr">
        <is>
          <t>Pipe</t>
        </is>
      </c>
      <c r="C13" s="3" t="inlineStr">
        <is>
          <t>Angle</t>
        </is>
      </c>
      <c r="D13" s="3" t="inlineStr">
        <is>
          <t>1-1/2" SCH 40 / L1.5x1.5x3/16</t>
        </is>
      </c>
      <c r="E13" s="3" t="inlineStr">
        <is>
          <t>1.5" pipe OD = 1.900"</t>
        </is>
      </c>
    </row>
    <row r="14">
      <c r="A14" s="5" t="inlineStr">
        <is>
          <t>Mid Rail</t>
        </is>
      </c>
      <c r="B14" s="5" t="inlineStr">
        <is>
          <t>Pipe</t>
        </is>
      </c>
      <c r="C14" s="5" t="inlineStr">
        <is>
          <t>Angle</t>
        </is>
      </c>
      <c r="D14" s="5" t="inlineStr">
        <is>
          <t>1-1/2" SCH 40 / L1.5x1.5x3/16</t>
        </is>
      </c>
      <c r="E14" s="5" t="inlineStr">
        <is>
          <t>Same as top rail</t>
        </is>
      </c>
    </row>
    <row r="15">
      <c r="A15" s="3" t="inlineStr">
        <is>
          <t>Post</t>
        </is>
      </c>
      <c r="B15" s="3" t="inlineStr">
        <is>
          <t>Pipe</t>
        </is>
      </c>
      <c r="C15" s="3" t="inlineStr">
        <is>
          <t>Sq. Tube</t>
        </is>
      </c>
      <c r="D15" s="3" t="inlineStr">
        <is>
          <t>1-1/2" SCH 40 / HSS2x2x3/16</t>
        </is>
      </c>
      <c r="E15" s="3" t="inlineStr">
        <is>
          <t>Weld to base plate</t>
        </is>
      </c>
    </row>
    <row r="16">
      <c r="A16" s="5" t="inlineStr">
        <is>
          <t>Base Plate</t>
        </is>
      </c>
      <c r="B16" s="5" t="inlineStr">
        <is>
          <t>A36 Plate</t>
        </is>
      </c>
      <c r="C16" s="5" t="inlineStr"/>
      <c r="D16" s="5" t="inlineStr">
        <is>
          <t>4"x4"x3/8" typical</t>
        </is>
      </c>
      <c r="E16" s="5" t="inlineStr">
        <is>
          <t>2x 1/2" dia anchor bolts</t>
        </is>
      </c>
    </row>
    <row r="17">
      <c r="A17" s="3" t="inlineStr">
        <is>
          <t>Kickplate</t>
        </is>
      </c>
      <c r="B17" s="3" t="inlineStr">
        <is>
          <t>Flat Bar</t>
        </is>
      </c>
      <c r="C17" s="3" t="inlineStr">
        <is>
          <t>Plate</t>
        </is>
      </c>
      <c r="D17" s="3" t="inlineStr">
        <is>
          <t>1/4" x 4" Flat Bar</t>
        </is>
      </c>
      <c r="E17" s="3" t="inlineStr">
        <is>
          <t>Tack both edges</t>
        </is>
      </c>
    </row>
    <row r="18">
      <c r="A18" s="5" t="inlineStr">
        <is>
          <t>Return End</t>
        </is>
      </c>
      <c r="B18" s="5" t="inlineStr">
        <is>
          <t>Pipe</t>
        </is>
      </c>
      <c r="C18" s="5" t="inlineStr"/>
      <c r="D18" s="5" t="inlineStr">
        <is>
          <t>180° return, same size</t>
        </is>
      </c>
      <c r="E18" s="5" t="inlineStr">
        <is>
          <t>Or cap plate w/ nosing</t>
        </is>
      </c>
    </row>
    <row r="19">
      <c r="A19" s="3" t="inlineStr">
        <is>
          <t>Gate Post</t>
        </is>
      </c>
      <c r="B19" s="3" t="inlineStr">
        <is>
          <t>Sq. Tube</t>
        </is>
      </c>
      <c r="C19" s="3" t="inlineStr"/>
      <c r="D19" s="3" t="inlineStr">
        <is>
          <t>HSS2x2x1/4</t>
        </is>
      </c>
      <c r="E19" s="3" t="inlineStr">
        <is>
          <t>Heavier to handle gate load</t>
        </is>
      </c>
    </row>
    <row r="21" ht="22" customHeight="1">
      <c r="A21" s="1" t="inlineStr">
        <is>
          <t>HANDRAIL RUN CALCULATOR  (Yellow = input, Green = result)</t>
        </is>
      </c>
    </row>
    <row r="22">
      <c r="A22" s="7" t="inlineStr">
        <is>
          <t>Total Run Length (ft):</t>
        </is>
      </c>
      <c r="B22" s="8" t="n">
        <v>20</v>
      </c>
    </row>
    <row r="23">
      <c r="A23" s="7" t="inlineStr">
        <is>
          <t>Post Spacing (ft, ≤8):</t>
        </is>
      </c>
      <c r="B23" s="8" t="n">
        <v>6</v>
      </c>
    </row>
    <row r="24">
      <c r="A24" s="7" t="inlineStr">
        <is>
          <t>Number of Posts:</t>
        </is>
      </c>
      <c r="B24" s="12">
        <f>CEILING(B22/B23,1)+1</f>
        <v/>
      </c>
    </row>
    <row r="25">
      <c r="A25" s="7" t="inlineStr">
        <is>
          <t>Top Rail Length (ft):</t>
        </is>
      </c>
      <c r="B25" s="13">
        <f>B22+2</f>
        <v/>
      </c>
      <c r="C25" s="10" t="inlineStr">
        <is>
          <t>(+2 for returns)</t>
        </is>
      </c>
    </row>
    <row r="26">
      <c r="A26" s="7" t="inlineStr">
        <is>
          <t>Mid Rail Length (ft):</t>
        </is>
      </c>
      <c r="B26" s="13">
        <f>B22+2</f>
        <v/>
      </c>
      <c r="C26" s="10" t="inlineStr">
        <is>
          <t>(+2 for returns)</t>
        </is>
      </c>
    </row>
  </sheetData>
  <mergeCells count="3">
    <mergeCell ref="A11:E11"/>
    <mergeCell ref="A1:E1"/>
    <mergeCell ref="A21:E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I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22" customWidth="1" min="4" max="4"/>
    <col width="12" customWidth="1" min="5" max="5"/>
    <col width="14" customWidth="1" min="6" max="6"/>
    <col width="14" customWidth="1" min="7" max="7"/>
    <col width="10" customWidth="1" min="8" max="8"/>
    <col width="30" customWidth="1" min="9" max="9"/>
  </cols>
  <sheetData>
    <row r="1" ht="22" customHeight="1">
      <c r="A1" s="1" t="inlineStr">
        <is>
          <t>PIPE SUPPORT TYPE REFERENCE  (O&amp;G / Chemical)</t>
        </is>
      </c>
    </row>
    <row r="2" ht="28" customHeight="1">
      <c r="A2" s="2" t="inlineStr">
        <is>
          <t>Support Type</t>
        </is>
      </c>
      <c r="B2" s="2" t="inlineStr">
        <is>
          <t>Description</t>
        </is>
      </c>
      <c r="C2" s="2" t="inlineStr">
        <is>
          <t>Pipe Size</t>
        </is>
      </c>
      <c r="D2" s="2" t="inlineStr">
        <is>
          <t>Base Plate</t>
        </is>
      </c>
      <c r="E2" s="2" t="inlineStr">
        <is>
          <t>Material</t>
        </is>
      </c>
      <c r="F2" s="2" t="inlineStr">
        <is>
          <t>Shop Notes</t>
        </is>
      </c>
      <c r="G2" s="2" t="inlineStr"/>
      <c r="H2" s="2" t="inlineStr"/>
      <c r="I2" s="2" t="inlineStr"/>
    </row>
    <row r="3">
      <c r="A3" s="3" t="inlineStr">
        <is>
          <t>Dummy Leg / Shoe</t>
        </is>
      </c>
      <c r="B3" s="3" t="inlineStr">
        <is>
          <t>Welded to pipe; sits on structure</t>
        </is>
      </c>
      <c r="C3" s="3" t="inlineStr">
        <is>
          <t>2"-24"</t>
        </is>
      </c>
      <c r="D3" s="3" t="inlineStr">
        <is>
          <t>6x6x1/2 min</t>
        </is>
      </c>
      <c r="E3" s="3" t="inlineStr">
        <is>
          <t>A36</t>
        </is>
      </c>
      <c r="F3" s="3" t="inlineStr">
        <is>
          <t>Most common O&amp;G support</t>
        </is>
      </c>
      <c r="G3" s="3" t="inlineStr"/>
      <c r="H3" s="3" t="inlineStr"/>
      <c r="I3" s="3" t="inlineStr"/>
    </row>
    <row r="4">
      <c r="A4" s="5" t="inlineStr">
        <is>
          <t>Guide</t>
        </is>
      </c>
      <c r="B4" s="5" t="inlineStr">
        <is>
          <t>Allows axial travel; restricts lateral</t>
        </is>
      </c>
      <c r="C4" s="5" t="inlineStr">
        <is>
          <t>2"-24"</t>
        </is>
      </c>
      <c r="D4" s="5" t="inlineStr">
        <is>
          <t>6x8x1/2</t>
        </is>
      </c>
      <c r="E4" s="5" t="inlineStr">
        <is>
          <t>A36</t>
        </is>
      </c>
      <c r="F4" s="5" t="inlineStr">
        <is>
          <t>Gap = OD + 1/2" typ</t>
        </is>
      </c>
      <c r="G4" s="5" t="inlineStr"/>
      <c r="H4" s="5" t="inlineStr"/>
      <c r="I4" s="5" t="inlineStr"/>
    </row>
    <row r="5">
      <c r="A5" s="3" t="inlineStr">
        <is>
          <t>Anchor (Fixed)</t>
        </is>
      </c>
      <c r="B5" s="3" t="inlineStr">
        <is>
          <t>Fully fixed — all loads/moments</t>
        </is>
      </c>
      <c r="C5" s="3" t="inlineStr">
        <is>
          <t>2"-16"</t>
        </is>
      </c>
      <c r="D5" s="3" t="inlineStr">
        <is>
          <t>10x10x3/4</t>
        </is>
      </c>
      <c r="E5" s="3" t="inlineStr">
        <is>
          <t>A36</t>
        </is>
      </c>
      <c r="F5" s="3" t="inlineStr">
        <is>
          <t>Gussets usually required</t>
        </is>
      </c>
      <c r="G5" s="3" t="inlineStr"/>
      <c r="H5" s="3" t="inlineStr"/>
      <c r="I5" s="3" t="inlineStr"/>
    </row>
    <row r="6">
      <c r="A6" s="5" t="inlineStr">
        <is>
          <t>Rod Hanger</t>
        </is>
      </c>
      <c r="B6" s="5" t="inlineStr">
        <is>
          <t>Threaded rod from above</t>
        </is>
      </c>
      <c r="C6" s="5" t="inlineStr">
        <is>
          <t>1/2"-12"</t>
        </is>
      </c>
      <c r="D6" s="5" t="inlineStr">
        <is>
          <t>N/A</t>
        </is>
      </c>
      <c r="E6" s="5" t="inlineStr">
        <is>
          <t>A307/A36</t>
        </is>
      </c>
      <c r="F6" s="5" t="inlineStr">
        <is>
          <t>Check engagement length</t>
        </is>
      </c>
      <c r="G6" s="5" t="inlineStr"/>
      <c r="H6" s="5" t="inlineStr"/>
      <c r="I6" s="5" t="inlineStr"/>
    </row>
    <row r="7">
      <c r="A7" s="3" t="inlineStr">
        <is>
          <t>U-Bolt</t>
        </is>
      </c>
      <c r="B7" s="3" t="inlineStr">
        <is>
          <t>Bolted clamp; wraps pipe</t>
        </is>
      </c>
      <c r="C7" s="3" t="inlineStr">
        <is>
          <t>1"-12"</t>
        </is>
      </c>
      <c r="D7" s="3" t="inlineStr">
        <is>
          <t>N/A</t>
        </is>
      </c>
      <c r="E7" s="3" t="inlineStr">
        <is>
          <t>A36/SS</t>
        </is>
      </c>
      <c r="F7" s="3" t="inlineStr">
        <is>
          <t>Order by pipe NPS</t>
        </is>
      </c>
      <c r="G7" s="3" t="inlineStr"/>
      <c r="H7" s="3" t="inlineStr"/>
      <c r="I7" s="3" t="inlineStr"/>
    </row>
    <row r="8">
      <c r="A8" s="5" t="inlineStr">
        <is>
          <t>Pipe Clamp</t>
        </is>
      </c>
      <c r="B8" s="5" t="inlineStr">
        <is>
          <t>Bolted clamshell; MSS SP-58</t>
        </is>
      </c>
      <c r="C8" s="5" t="inlineStr">
        <is>
          <t>1/2"-36"</t>
        </is>
      </c>
      <c r="D8" s="5" t="inlineStr">
        <is>
          <t>N/A</t>
        </is>
      </c>
      <c r="E8" s="5" t="inlineStr">
        <is>
          <t>A36/SS</t>
        </is>
      </c>
      <c r="F8" s="5" t="inlineStr">
        <is>
          <t>Type 1/4/24/36 common</t>
        </is>
      </c>
      <c r="G8" s="5" t="inlineStr"/>
      <c r="H8" s="5" t="inlineStr"/>
      <c r="I8" s="5" t="inlineStr"/>
    </row>
    <row r="9">
      <c r="A9" s="3" t="inlineStr">
        <is>
          <t>Spring Hanger</t>
        </is>
      </c>
      <c r="B9" s="3" t="inlineStr">
        <is>
          <t>Variable/constant-effort spring</t>
        </is>
      </c>
      <c r="C9" s="3" t="inlineStr">
        <is>
          <t>Per mfr</t>
        </is>
      </c>
      <c r="D9" s="3" t="inlineStr">
        <is>
          <t>N/A</t>
        </is>
      </c>
      <c r="E9" s="3" t="inlineStr">
        <is>
          <t>Mfr std</t>
        </is>
      </c>
      <c r="F9" s="3" t="inlineStr">
        <is>
          <t>Specify load, travel</t>
        </is>
      </c>
      <c r="G9" s="3" t="inlineStr"/>
      <c r="H9" s="3" t="inlineStr"/>
      <c r="I9" s="3" t="inlineStr"/>
    </row>
    <row r="10">
      <c r="A10" s="5" t="inlineStr">
        <is>
          <t>Saddle</t>
        </is>
      </c>
      <c r="B10" s="5" t="inlineStr">
        <is>
          <t>Supports insulated pipe from below</t>
        </is>
      </c>
      <c r="C10" s="5" t="inlineStr">
        <is>
          <t>2"-24"</t>
        </is>
      </c>
      <c r="D10" s="5" t="inlineStr">
        <is>
          <t>Per design</t>
        </is>
      </c>
      <c r="E10" s="5" t="inlineStr">
        <is>
          <t>A36</t>
        </is>
      </c>
      <c r="F10" s="5" t="inlineStr">
        <is>
          <t>Insulation insert required</t>
        </is>
      </c>
      <c r="G10" s="5" t="inlineStr"/>
      <c r="H10" s="5" t="inlineStr"/>
      <c r="I10" s="5" t="inlineStr"/>
    </row>
    <row r="11">
      <c r="A11" s="3" t="inlineStr">
        <is>
          <t>Trunnion</t>
        </is>
      </c>
      <c r="B11" s="3" t="inlineStr">
        <is>
          <t>Large pipe; pin-mounted to structure</t>
        </is>
      </c>
      <c r="C11" s="3" t="inlineStr">
        <is>
          <t>12"-48"</t>
        </is>
      </c>
      <c r="D11" s="3" t="inlineStr">
        <is>
          <t>Heavy plate</t>
        </is>
      </c>
      <c r="E11" s="3" t="inlineStr">
        <is>
          <t>A36</t>
        </is>
      </c>
      <c r="F11" s="3" t="inlineStr">
        <is>
          <t>Requires stress analysis</t>
        </is>
      </c>
      <c r="G11" s="3" t="inlineStr"/>
      <c r="H11" s="3" t="inlineStr"/>
      <c r="I11" s="3" t="inlineStr"/>
    </row>
    <row r="13" ht="22" customHeight="1">
      <c r="A13" s="1" t="inlineStr">
        <is>
          <t>DUMMY LEG / SHOE SIZING GUIDE  (Typical — Verify w/ Engineer)</t>
        </is>
      </c>
    </row>
    <row r="14" ht="28" customHeight="1">
      <c r="A14" s="2" t="inlineStr">
        <is>
          <t>Pipe NPS</t>
        </is>
      </c>
      <c r="B14" s="2" t="inlineStr">
        <is>
          <t>Pipe OD</t>
        </is>
      </c>
      <c r="C14" s="2" t="inlineStr">
        <is>
          <t>Shoe Ht</t>
        </is>
      </c>
      <c r="D14" s="2" t="inlineStr">
        <is>
          <t>BP Width</t>
        </is>
      </c>
      <c r="E14" s="2" t="inlineStr">
        <is>
          <t>BP Length</t>
        </is>
      </c>
      <c r="F14" s="2" t="inlineStr">
        <is>
          <t>BP Thickness</t>
        </is>
      </c>
      <c r="G14" s="2" t="inlineStr">
        <is>
          <t>Stiffener?</t>
        </is>
      </c>
      <c r="H14" s="2" t="inlineStr"/>
      <c r="I14" s="2" t="inlineStr"/>
    </row>
    <row r="15">
      <c r="A15" s="4" t="inlineStr">
        <is>
          <t>2</t>
        </is>
      </c>
      <c r="B15" s="4" t="n">
        <v>2.375</v>
      </c>
      <c r="C15" s="4" t="inlineStr">
        <is>
          <t>6"</t>
        </is>
      </c>
      <c r="D15" s="4" t="inlineStr">
        <is>
          <t>5"</t>
        </is>
      </c>
      <c r="E15" s="4" t="inlineStr">
        <is>
          <t>6"</t>
        </is>
      </c>
      <c r="F15" s="4" t="inlineStr">
        <is>
          <t>3/8"</t>
        </is>
      </c>
      <c r="G15" s="4" t="inlineStr">
        <is>
          <t>No</t>
        </is>
      </c>
      <c r="H15" s="3" t="inlineStr"/>
      <c r="I15" s="3" t="inlineStr"/>
    </row>
    <row r="16">
      <c r="A16" s="6" t="inlineStr">
        <is>
          <t>3</t>
        </is>
      </c>
      <c r="B16" s="6" t="n">
        <v>3.5</v>
      </c>
      <c r="C16" s="6" t="inlineStr">
        <is>
          <t>6"</t>
        </is>
      </c>
      <c r="D16" s="6" t="inlineStr">
        <is>
          <t>6"</t>
        </is>
      </c>
      <c r="E16" s="6" t="inlineStr">
        <is>
          <t>7"</t>
        </is>
      </c>
      <c r="F16" s="6" t="inlineStr">
        <is>
          <t>3/8"</t>
        </is>
      </c>
      <c r="G16" s="6" t="inlineStr">
        <is>
          <t>No</t>
        </is>
      </c>
      <c r="H16" s="5" t="inlineStr"/>
      <c r="I16" s="5" t="inlineStr"/>
    </row>
    <row r="17">
      <c r="A17" s="4" t="inlineStr">
        <is>
          <t>4</t>
        </is>
      </c>
      <c r="B17" s="4" t="n">
        <v>4.5</v>
      </c>
      <c r="C17" s="4" t="inlineStr">
        <is>
          <t>6"</t>
        </is>
      </c>
      <c r="D17" s="4" t="inlineStr">
        <is>
          <t>7"</t>
        </is>
      </c>
      <c r="E17" s="4" t="inlineStr">
        <is>
          <t>8"</t>
        </is>
      </c>
      <c r="F17" s="4" t="inlineStr">
        <is>
          <t>3/8"</t>
        </is>
      </c>
      <c r="G17" s="4" t="inlineStr">
        <is>
          <t>No</t>
        </is>
      </c>
      <c r="H17" s="3" t="inlineStr"/>
      <c r="I17" s="3" t="inlineStr"/>
    </row>
    <row r="18">
      <c r="A18" s="6" t="inlineStr">
        <is>
          <t>6</t>
        </is>
      </c>
      <c r="B18" s="6" t="n">
        <v>6.625</v>
      </c>
      <c r="C18" s="6" t="inlineStr">
        <is>
          <t>6"</t>
        </is>
      </c>
      <c r="D18" s="6" t="inlineStr">
        <is>
          <t>8"</t>
        </is>
      </c>
      <c r="E18" s="6" t="inlineStr">
        <is>
          <t>10"</t>
        </is>
      </c>
      <c r="F18" s="6" t="inlineStr">
        <is>
          <t>1/2"</t>
        </is>
      </c>
      <c r="G18" s="6" t="inlineStr">
        <is>
          <t>Consult</t>
        </is>
      </c>
      <c r="H18" s="5" t="inlineStr"/>
      <c r="I18" s="5" t="inlineStr"/>
    </row>
    <row r="19">
      <c r="A19" s="4" t="inlineStr">
        <is>
          <t>8</t>
        </is>
      </c>
      <c r="B19" s="4" t="n">
        <v>8.625</v>
      </c>
      <c r="C19" s="4" t="inlineStr">
        <is>
          <t>8"</t>
        </is>
      </c>
      <c r="D19" s="4" t="inlineStr">
        <is>
          <t>10"</t>
        </is>
      </c>
      <c r="E19" s="4" t="inlineStr">
        <is>
          <t>12"</t>
        </is>
      </c>
      <c r="F19" s="4" t="inlineStr">
        <is>
          <t>1/2"</t>
        </is>
      </c>
      <c r="G19" s="4" t="inlineStr">
        <is>
          <t>Yes</t>
        </is>
      </c>
      <c r="H19" s="3" t="inlineStr"/>
      <c r="I19" s="3" t="inlineStr"/>
    </row>
    <row r="20">
      <c r="A20" s="6" t="inlineStr">
        <is>
          <t>10</t>
        </is>
      </c>
      <c r="B20" s="6" t="n">
        <v>10.75</v>
      </c>
      <c r="C20" s="6" t="inlineStr">
        <is>
          <t>8"</t>
        </is>
      </c>
      <c r="D20" s="6" t="inlineStr">
        <is>
          <t>12"</t>
        </is>
      </c>
      <c r="E20" s="6" t="inlineStr">
        <is>
          <t>14"</t>
        </is>
      </c>
      <c r="F20" s="6" t="inlineStr">
        <is>
          <t>1/2"</t>
        </is>
      </c>
      <c r="G20" s="6" t="inlineStr">
        <is>
          <t>Yes</t>
        </is>
      </c>
      <c r="H20" s="5" t="inlineStr"/>
      <c r="I20" s="5" t="inlineStr"/>
    </row>
    <row r="21">
      <c r="A21" s="4" t="inlineStr">
        <is>
          <t>12</t>
        </is>
      </c>
      <c r="B21" s="4" t="n">
        <v>12.75</v>
      </c>
      <c r="C21" s="4" t="inlineStr">
        <is>
          <t>8"</t>
        </is>
      </c>
      <c r="D21" s="4" t="inlineStr">
        <is>
          <t>12"</t>
        </is>
      </c>
      <c r="E21" s="4" t="inlineStr">
        <is>
          <t>14"</t>
        </is>
      </c>
      <c r="F21" s="4" t="inlineStr">
        <is>
          <t>3/4"</t>
        </is>
      </c>
      <c r="G21" s="4" t="inlineStr">
        <is>
          <t>Yes</t>
        </is>
      </c>
      <c r="H21" s="3" t="inlineStr"/>
      <c r="I21" s="3" t="inlineStr"/>
    </row>
    <row r="22">
      <c r="A22" s="6" t="inlineStr">
        <is>
          <t>14</t>
        </is>
      </c>
      <c r="B22" s="6" t="n">
        <v>14</v>
      </c>
      <c r="C22" s="6" t="inlineStr">
        <is>
          <t>10"</t>
        </is>
      </c>
      <c r="D22" s="6" t="inlineStr">
        <is>
          <t>14"</t>
        </is>
      </c>
      <c r="E22" s="6" t="inlineStr">
        <is>
          <t>16"</t>
        </is>
      </c>
      <c r="F22" s="6" t="inlineStr">
        <is>
          <t>3/4"</t>
        </is>
      </c>
      <c r="G22" s="6" t="inlineStr">
        <is>
          <t>Yes</t>
        </is>
      </c>
      <c r="H22" s="5" t="inlineStr"/>
      <c r="I22" s="5" t="inlineStr"/>
    </row>
    <row r="23">
      <c r="A23" s="4" t="inlineStr">
        <is>
          <t>16</t>
        </is>
      </c>
      <c r="B23" s="4" t="n">
        <v>16</v>
      </c>
      <c r="C23" s="4" t="inlineStr">
        <is>
          <t>10"</t>
        </is>
      </c>
      <c r="D23" s="4" t="inlineStr">
        <is>
          <t>16"</t>
        </is>
      </c>
      <c r="E23" s="4" t="inlineStr">
        <is>
          <t>18"</t>
        </is>
      </c>
      <c r="F23" s="4" t="inlineStr">
        <is>
          <t>3/4"</t>
        </is>
      </c>
      <c r="G23" s="4" t="inlineStr">
        <is>
          <t>Yes</t>
        </is>
      </c>
      <c r="H23" s="3" t="inlineStr"/>
      <c r="I23" s="3" t="inlineStr"/>
    </row>
    <row r="25" ht="22" customHeight="1">
      <c r="A25" s="1" t="inlineStr">
        <is>
          <t>SUPPORT DETAIL LOG  (Fill in as you detail — dropdown in column D)</t>
        </is>
      </c>
    </row>
    <row r="26" ht="28" customHeight="1">
      <c r="A26" s="2" t="inlineStr">
        <is>
          <t>Tag</t>
        </is>
      </c>
      <c r="B26" s="2" t="inlineStr">
        <is>
          <t>Line #</t>
        </is>
      </c>
      <c r="C26" s="2" t="inlineStr">
        <is>
          <t>NPS</t>
        </is>
      </c>
      <c r="D26" s="2" t="inlineStr">
        <is>
          <t>Support Type</t>
        </is>
      </c>
      <c r="E26" s="2" t="inlineStr">
        <is>
          <t>Elev (ft)</t>
        </is>
      </c>
      <c r="F26" s="2" t="inlineStr">
        <is>
          <t>Material</t>
        </is>
      </c>
      <c r="G26" s="2" t="inlineStr">
        <is>
          <t>Base Plate</t>
        </is>
      </c>
      <c r="H26" s="2" t="inlineStr">
        <is>
          <t>Gusset?</t>
        </is>
      </c>
      <c r="I26" s="2" t="inlineStr">
        <is>
          <t>Notes</t>
        </is>
      </c>
    </row>
    <row r="27">
      <c r="A27" s="3" t="inlineStr"/>
      <c r="B27" s="3" t="inlineStr"/>
      <c r="C27" s="4" t="inlineStr"/>
      <c r="D27" s="3" t="inlineStr"/>
      <c r="E27" s="4" t="inlineStr"/>
      <c r="F27" s="3" t="inlineStr"/>
      <c r="G27" s="3" t="inlineStr"/>
      <c r="H27" s="4" t="inlineStr"/>
      <c r="I27" s="3" t="inlineStr"/>
    </row>
    <row r="28">
      <c r="A28" s="5" t="inlineStr"/>
      <c r="B28" s="5" t="inlineStr"/>
      <c r="C28" s="6" t="inlineStr"/>
      <c r="D28" s="5" t="inlineStr"/>
      <c r="E28" s="6" t="inlineStr"/>
      <c r="F28" s="5" t="inlineStr"/>
      <c r="G28" s="5" t="inlineStr"/>
      <c r="H28" s="6" t="inlineStr"/>
      <c r="I28" s="5" t="inlineStr"/>
    </row>
    <row r="29">
      <c r="A29" s="3" t="inlineStr"/>
      <c r="B29" s="3" t="inlineStr"/>
      <c r="C29" s="4" t="inlineStr"/>
      <c r="D29" s="3" t="inlineStr"/>
      <c r="E29" s="4" t="inlineStr"/>
      <c r="F29" s="3" t="inlineStr"/>
      <c r="G29" s="3" t="inlineStr"/>
      <c r="H29" s="4" t="inlineStr"/>
      <c r="I29" s="3" t="inlineStr"/>
    </row>
    <row r="30">
      <c r="A30" s="5" t="inlineStr"/>
      <c r="B30" s="5" t="inlineStr"/>
      <c r="C30" s="6" t="inlineStr"/>
      <c r="D30" s="5" t="inlineStr"/>
      <c r="E30" s="6" t="inlineStr"/>
      <c r="F30" s="5" t="inlineStr"/>
      <c r="G30" s="5" t="inlineStr"/>
      <c r="H30" s="6" t="inlineStr"/>
      <c r="I30" s="5" t="inlineStr"/>
    </row>
    <row r="31">
      <c r="A31" s="3" t="inlineStr"/>
      <c r="B31" s="3" t="inlineStr"/>
      <c r="C31" s="4" t="inlineStr"/>
      <c r="D31" s="3" t="inlineStr"/>
      <c r="E31" s="4" t="inlineStr"/>
      <c r="F31" s="3" t="inlineStr"/>
      <c r="G31" s="3" t="inlineStr"/>
      <c r="H31" s="4" t="inlineStr"/>
      <c r="I31" s="3" t="inlineStr"/>
    </row>
    <row r="32">
      <c r="A32" s="5" t="inlineStr"/>
      <c r="B32" s="5" t="inlineStr"/>
      <c r="C32" s="6" t="inlineStr"/>
      <c r="D32" s="5" t="inlineStr"/>
      <c r="E32" s="6" t="inlineStr"/>
      <c r="F32" s="5" t="inlineStr"/>
      <c r="G32" s="5" t="inlineStr"/>
      <c r="H32" s="6" t="inlineStr"/>
      <c r="I32" s="5" t="inlineStr"/>
    </row>
    <row r="33">
      <c r="A33" s="3" t="inlineStr"/>
      <c r="B33" s="3" t="inlineStr"/>
      <c r="C33" s="4" t="inlineStr"/>
      <c r="D33" s="3" t="inlineStr"/>
      <c r="E33" s="4" t="inlineStr"/>
      <c r="F33" s="3" t="inlineStr"/>
      <c r="G33" s="3" t="inlineStr"/>
      <c r="H33" s="4" t="inlineStr"/>
      <c r="I33" s="3" t="inlineStr"/>
    </row>
    <row r="34">
      <c r="A34" s="5" t="inlineStr"/>
      <c r="B34" s="5" t="inlineStr"/>
      <c r="C34" s="6" t="inlineStr"/>
      <c r="D34" s="5" t="inlineStr"/>
      <c r="E34" s="6" t="inlineStr"/>
      <c r="F34" s="5" t="inlineStr"/>
      <c r="G34" s="5" t="inlineStr"/>
      <c r="H34" s="6" t="inlineStr"/>
      <c r="I34" s="5" t="inlineStr"/>
    </row>
    <row r="35">
      <c r="A35" s="3" t="inlineStr"/>
      <c r="B35" s="3" t="inlineStr"/>
      <c r="C35" s="4" t="inlineStr"/>
      <c r="D35" s="3" t="inlineStr"/>
      <c r="E35" s="4" t="inlineStr"/>
      <c r="F35" s="3" t="inlineStr"/>
      <c r="G35" s="3" t="inlineStr"/>
      <c r="H35" s="4" t="inlineStr"/>
      <c r="I35" s="3" t="inlineStr"/>
    </row>
    <row r="36">
      <c r="A36" s="5" t="inlineStr"/>
      <c r="B36" s="5" t="inlineStr"/>
      <c r="C36" s="6" t="inlineStr"/>
      <c r="D36" s="5" t="inlineStr"/>
      <c r="E36" s="6" t="inlineStr"/>
      <c r="F36" s="5" t="inlineStr"/>
      <c r="G36" s="5" t="inlineStr"/>
      <c r="H36" s="6" t="inlineStr"/>
      <c r="I36" s="5" t="inlineStr"/>
    </row>
    <row r="37">
      <c r="A37" s="3" t="inlineStr"/>
      <c r="B37" s="3" t="inlineStr"/>
      <c r="C37" s="4" t="inlineStr"/>
      <c r="D37" s="3" t="inlineStr"/>
      <c r="E37" s="4" t="inlineStr"/>
      <c r="F37" s="3" t="inlineStr"/>
      <c r="G37" s="3" t="inlineStr"/>
      <c r="H37" s="4" t="inlineStr"/>
      <c r="I37" s="3" t="inlineStr"/>
    </row>
    <row r="38">
      <c r="A38" s="5" t="inlineStr"/>
      <c r="B38" s="5" t="inlineStr"/>
      <c r="C38" s="6" t="inlineStr"/>
      <c r="D38" s="5" t="inlineStr"/>
      <c r="E38" s="6" t="inlineStr"/>
      <c r="F38" s="5" t="inlineStr"/>
      <c r="G38" s="5" t="inlineStr"/>
      <c r="H38" s="6" t="inlineStr"/>
      <c r="I38" s="5" t="inlineStr"/>
    </row>
    <row r="39">
      <c r="A39" s="3" t="inlineStr"/>
      <c r="B39" s="3" t="inlineStr"/>
      <c r="C39" s="4" t="inlineStr"/>
      <c r="D39" s="3" t="inlineStr"/>
      <c r="E39" s="4" t="inlineStr"/>
      <c r="F39" s="3" t="inlineStr"/>
      <c r="G39" s="3" t="inlineStr"/>
      <c r="H39" s="4" t="inlineStr"/>
      <c r="I39" s="3" t="inlineStr"/>
    </row>
    <row r="40">
      <c r="A40" s="5" t="inlineStr"/>
      <c r="B40" s="5" t="inlineStr"/>
      <c r="C40" s="6" t="inlineStr"/>
      <c r="D40" s="5" t="inlineStr"/>
      <c r="E40" s="6" t="inlineStr"/>
      <c r="F40" s="5" t="inlineStr"/>
      <c r="G40" s="5" t="inlineStr"/>
      <c r="H40" s="6" t="inlineStr"/>
      <c r="I40" s="5" t="inlineStr"/>
    </row>
    <row r="41">
      <c r="A41" s="3" t="inlineStr"/>
      <c r="B41" s="3" t="inlineStr"/>
      <c r="C41" s="4" t="inlineStr"/>
      <c r="D41" s="3" t="inlineStr"/>
      <c r="E41" s="4" t="inlineStr"/>
      <c r="F41" s="3" t="inlineStr"/>
      <c r="G41" s="3" t="inlineStr"/>
      <c r="H41" s="4" t="inlineStr"/>
      <c r="I41" s="3" t="inlineStr"/>
    </row>
  </sheetData>
  <mergeCells count="3">
    <mergeCell ref="A1:I1"/>
    <mergeCell ref="A25:I25"/>
    <mergeCell ref="A13:I13"/>
  </mergeCells>
  <dataValidations count="2">
    <dataValidation sqref="D27:D41" showDropDown="0" showInputMessage="0" showErrorMessage="0" allowBlank="1" type="list">
      <formula1>"Dummy Leg / Shoe,Guide,Anchor (Fixed),Rod Hanger,U-Bolt,Pipe Clamp,Spring Hanger,Saddle,Trunnion"</formula1>
    </dataValidation>
    <dataValidation sqref="F27:F41" showDropDown="0" showInputMessage="0" showErrorMessage="0" allowBlank="1" type="list">
      <formula1>"A36,A572 Gr50,A992,A500 Gr B,A500 Gr C,A53-B,A106-B,A108"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4B5"/>
    <outlinePr summaryBelow="1" summaryRight="1"/>
    <pageSetUpPr/>
  </sheetPr>
  <dimension ref="A1:H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20" customWidth="1" min="4" max="4"/>
    <col width="12" customWidth="1" min="5" max="5"/>
    <col width="8" customWidth="1" min="6" max="6"/>
    <col width="14" customWidth="1" min="7" max="7"/>
    <col width="14" customWidth="1" min="8" max="8"/>
  </cols>
  <sheetData>
    <row r="1" ht="22" customHeight="1">
      <c r="A1" s="1" t="inlineStr">
        <is>
          <t>GRATING REFERENCE</t>
        </is>
      </c>
    </row>
    <row r="2" ht="28" customHeight="1">
      <c r="A2" s="2" t="inlineStr">
        <is>
          <t>Type</t>
        </is>
      </c>
      <c r="B2" s="2" t="inlineStr">
        <is>
          <t>Designation</t>
        </is>
      </c>
      <c r="C2" s="2" t="inlineStr">
        <is>
          <t>Bar Size</t>
        </is>
      </c>
      <c r="D2" s="2" t="inlineStr">
        <is>
          <t>Panel Sizes</t>
        </is>
      </c>
      <c r="E2" s="2" t="inlineStr">
        <is>
          <t>Wt (lb/ft²)</t>
        </is>
      </c>
      <c r="F2" s="2" t="inlineStr">
        <is>
          <t>Notes</t>
        </is>
      </c>
      <c r="G2" s="2" t="inlineStr"/>
      <c r="H2" s="2" t="inlineStr"/>
    </row>
    <row r="3">
      <c r="A3" s="3" t="inlineStr">
        <is>
          <t>Bar Grating (welded)</t>
        </is>
      </c>
      <c r="B3" s="4" t="inlineStr">
        <is>
          <t>19-W-4</t>
        </is>
      </c>
      <c r="C3" s="3" t="inlineStr">
        <is>
          <t>1-3/16" x 3/16"</t>
        </is>
      </c>
      <c r="D3" s="3" t="inlineStr">
        <is>
          <t>24"/36"/48" wide, up to 20'</t>
        </is>
      </c>
      <c r="E3" s="4" t="n">
        <v>11</v>
      </c>
      <c r="F3" s="3" t="inlineStr">
        <is>
          <t>Most common O&amp;G spec</t>
        </is>
      </c>
      <c r="G3" s="3" t="inlineStr"/>
      <c r="H3" s="3" t="inlineStr"/>
    </row>
    <row r="4">
      <c r="A4" s="5" t="inlineStr">
        <is>
          <t>Bar Grating (welded)</t>
        </is>
      </c>
      <c r="B4" s="6" t="inlineStr">
        <is>
          <t>15-W-4</t>
        </is>
      </c>
      <c r="C4" s="5" t="inlineStr">
        <is>
          <t>15/16" x 3/16"</t>
        </is>
      </c>
      <c r="D4" s="5" t="inlineStr">
        <is>
          <t>24"/36"/48" wide</t>
        </is>
      </c>
      <c r="E4" s="6" t="n">
        <v>9</v>
      </c>
      <c r="F4" s="5" t="inlineStr">
        <is>
          <t>Lighter applications</t>
        </is>
      </c>
      <c r="G4" s="5" t="inlineStr"/>
      <c r="H4" s="5" t="inlineStr"/>
    </row>
    <row r="5">
      <c r="A5" s="3" t="inlineStr">
        <is>
          <t>Bar Grating (swaged)</t>
        </is>
      </c>
      <c r="B5" s="4" t="inlineStr">
        <is>
          <t>19-W-4</t>
        </is>
      </c>
      <c r="C5" s="3" t="inlineStr">
        <is>
          <t>1-3/16" x 3/16"</t>
        </is>
      </c>
      <c r="D5" s="3" t="inlineStr">
        <is>
          <t>24"/36"/48" wide</t>
        </is>
      </c>
      <c r="E5" s="4" t="n">
        <v>11</v>
      </c>
      <c r="F5" s="3" t="inlineStr">
        <is>
          <t>No welds; cold-locked</t>
        </is>
      </c>
      <c r="G5" s="3" t="inlineStr"/>
      <c r="H5" s="3" t="inlineStr"/>
    </row>
    <row r="6">
      <c r="A6" s="5" t="inlineStr">
        <is>
          <t>Checkered Plate</t>
        </is>
      </c>
      <c r="B6" s="6" t="inlineStr">
        <is>
          <t>3/16"</t>
        </is>
      </c>
      <c r="C6" s="5" t="inlineStr">
        <is>
          <t>N/A</t>
        </is>
      </c>
      <c r="D6" s="5" t="inlineStr">
        <is>
          <t>48x96, 60x120</t>
        </is>
      </c>
      <c r="E6" s="6" t="n">
        <v>8.25</v>
      </c>
      <c r="F6" s="5" t="inlineStr">
        <is>
          <t>Verify pattern add'l wt</t>
        </is>
      </c>
      <c r="G6" s="5" t="inlineStr"/>
      <c r="H6" s="5" t="inlineStr"/>
    </row>
    <row r="7">
      <c r="A7" s="3" t="inlineStr">
        <is>
          <t>Checkered Plate</t>
        </is>
      </c>
      <c r="B7" s="4" t="inlineStr">
        <is>
          <t>1/4"</t>
        </is>
      </c>
      <c r="C7" s="3" t="inlineStr">
        <is>
          <t>N/A</t>
        </is>
      </c>
      <c r="D7" s="3" t="inlineStr">
        <is>
          <t>48x96, 60x120</t>
        </is>
      </c>
      <c r="E7" s="4" t="n">
        <v>10.6</v>
      </c>
      <c r="F7" s="3" t="inlineStr"/>
      <c r="G7" s="3" t="inlineStr"/>
      <c r="H7" s="3" t="inlineStr"/>
    </row>
    <row r="8">
      <c r="A8" s="5" t="inlineStr">
        <is>
          <t>Checkered Plate</t>
        </is>
      </c>
      <c r="B8" s="6" t="inlineStr">
        <is>
          <t>3/8"</t>
        </is>
      </c>
      <c r="C8" s="5" t="inlineStr">
        <is>
          <t>N/A</t>
        </is>
      </c>
      <c r="D8" s="5" t="inlineStr">
        <is>
          <t>48x96, 60x120</t>
        </is>
      </c>
      <c r="E8" s="6" t="n">
        <v>15.6</v>
      </c>
      <c r="F8" s="5" t="inlineStr">
        <is>
          <t>Heavy traffic</t>
        </is>
      </c>
      <c r="G8" s="5" t="inlineStr"/>
      <c r="H8" s="5" t="inlineStr"/>
    </row>
    <row r="10" ht="22" customHeight="1">
      <c r="A10" s="1" t="inlineStr">
        <is>
          <t>STRUCTURAL MEMBER REFERENCE</t>
        </is>
      </c>
    </row>
    <row r="11" ht="28" customHeight="1">
      <c r="A11" s="2" t="inlineStr">
        <is>
          <t>Member</t>
        </is>
      </c>
      <c r="B11" s="2" t="inlineStr">
        <is>
          <t>Typical Size</t>
        </is>
      </c>
      <c r="C11" s="2" t="inlineStr">
        <is>
          <t>Material</t>
        </is>
      </c>
      <c r="D11" s="2" t="inlineStr">
        <is>
          <t>Max Span</t>
        </is>
      </c>
      <c r="E11" s="2" t="inlineStr">
        <is>
          <t>Notes</t>
        </is>
      </c>
      <c r="F11" s="2" t="inlineStr"/>
      <c r="G11" s="2" t="inlineStr"/>
      <c r="H11" s="2" t="inlineStr"/>
    </row>
    <row r="12">
      <c r="A12" s="3" t="inlineStr">
        <is>
          <t>Floor Beam</t>
        </is>
      </c>
      <c r="B12" s="3" t="inlineStr">
        <is>
          <t>W8x18 or W8x24</t>
        </is>
      </c>
      <c r="C12" s="3" t="inlineStr">
        <is>
          <t>A992/A572</t>
        </is>
      </c>
      <c r="D12" s="3" t="inlineStr">
        <is>
          <t>12-16 ft</t>
        </is>
      </c>
      <c r="E12" s="3" t="inlineStr">
        <is>
          <t>Typical for 50 psf</t>
        </is>
      </c>
      <c r="F12" s="3" t="inlineStr"/>
      <c r="G12" s="3" t="inlineStr"/>
      <c r="H12" s="3" t="inlineStr"/>
    </row>
    <row r="13">
      <c r="A13" s="5" t="inlineStr">
        <is>
          <t>Header / Rim</t>
        </is>
      </c>
      <c r="B13" s="5" t="inlineStr">
        <is>
          <t>W10x22 or C10x20</t>
        </is>
      </c>
      <c r="C13" s="5" t="inlineStr">
        <is>
          <t>A992/A572</t>
        </is>
      </c>
      <c r="D13" s="5" t="inlineStr">
        <is>
          <t>Varies</t>
        </is>
      </c>
      <c r="E13" s="5" t="inlineStr">
        <is>
          <t>Perimeter support</t>
        </is>
      </c>
      <c r="F13" s="5" t="inlineStr"/>
      <c r="G13" s="5" t="inlineStr"/>
      <c r="H13" s="5" t="inlineStr"/>
    </row>
    <row r="14">
      <c r="A14" s="3" t="inlineStr">
        <is>
          <t>Knee Brace</t>
        </is>
      </c>
      <c r="B14" s="3" t="inlineStr">
        <is>
          <t>L3x3x3/8 or HSS3x3x3/16</t>
        </is>
      </c>
      <c r="C14" s="3" t="inlineStr">
        <is>
          <t>A36/A500</t>
        </is>
      </c>
      <c r="D14" s="3" t="inlineStr">
        <is>
          <t>N/A</t>
        </is>
      </c>
      <c r="E14" s="3" t="inlineStr">
        <is>
          <t>45° typical</t>
        </is>
      </c>
      <c r="F14" s="3" t="inlineStr"/>
      <c r="G14" s="3" t="inlineStr"/>
      <c r="H14" s="3" t="inlineStr"/>
    </row>
    <row r="15">
      <c r="A15" s="5" t="inlineStr">
        <is>
          <t>Column</t>
        </is>
      </c>
      <c r="B15" s="5" t="inlineStr">
        <is>
          <t>HSS4x4x1/4 or W6x15</t>
        </is>
      </c>
      <c r="C15" s="5" t="inlineStr">
        <is>
          <t>A500/A992</t>
        </is>
      </c>
      <c r="D15" s="5" t="inlineStr">
        <is>
          <t>10-16 H</t>
        </is>
      </c>
      <c r="E15" s="5" t="inlineStr">
        <is>
          <t>Base plate required</t>
        </is>
      </c>
      <c r="F15" s="5" t="inlineStr"/>
      <c r="G15" s="5" t="inlineStr"/>
      <c r="H15" s="5" t="inlineStr"/>
    </row>
    <row r="16">
      <c r="A16" s="3" t="inlineStr">
        <is>
          <t>Handrail Post</t>
        </is>
      </c>
      <c r="B16" s="3" t="inlineStr">
        <is>
          <t>1-1/2" SCH 40 Pipe</t>
        </is>
      </c>
      <c r="C16" s="3" t="inlineStr">
        <is>
          <t>A53-B</t>
        </is>
      </c>
      <c r="D16" s="3" t="inlineStr">
        <is>
          <t>8'-0" max</t>
        </is>
      </c>
      <c r="E16" s="3" t="inlineStr">
        <is>
          <t>42" above FF</t>
        </is>
      </c>
      <c r="F16" s="3" t="inlineStr"/>
      <c r="G16" s="3" t="inlineStr"/>
      <c r="H16" s="3" t="inlineStr"/>
    </row>
    <row r="17">
      <c r="A17" s="5" t="inlineStr">
        <is>
          <t>Stair Stringer</t>
        </is>
      </c>
      <c r="B17" s="5" t="inlineStr">
        <is>
          <t>C10x20 or C12x20.7</t>
        </is>
      </c>
      <c r="C17" s="5" t="inlineStr">
        <is>
          <t>A36/A572</t>
        </is>
      </c>
      <c r="D17" s="5" t="inlineStr">
        <is>
          <t>Varies</t>
        </is>
      </c>
      <c r="E17" s="5" t="inlineStr">
        <is>
          <t>Slope per design</t>
        </is>
      </c>
      <c r="F17" s="5" t="inlineStr"/>
      <c r="G17" s="5" t="inlineStr"/>
      <c r="H17" s="5" t="inlineStr"/>
    </row>
    <row r="18">
      <c r="A18" s="3" t="inlineStr">
        <is>
          <t>Gusset Plate</t>
        </is>
      </c>
      <c r="B18" s="3" t="inlineStr">
        <is>
          <t>3/8" plate typical</t>
        </is>
      </c>
      <c r="C18" s="3" t="inlineStr">
        <is>
          <t>A36</t>
        </is>
      </c>
      <c r="D18" s="3" t="inlineStr">
        <is>
          <t>N/A</t>
        </is>
      </c>
      <c r="E18" s="3" t="inlineStr">
        <is>
          <t>Size per loading</t>
        </is>
      </c>
      <c r="F18" s="3" t="inlineStr"/>
      <c r="G18" s="3" t="inlineStr"/>
      <c r="H18" s="3" t="inlineStr"/>
    </row>
    <row r="20" ht="22" customHeight="1">
      <c r="A20" s="1" t="inlineStr">
        <is>
          <t>DESIGN NOTES &amp; SHOP STANDARDS</t>
        </is>
      </c>
    </row>
    <row r="21" ht="28" customHeight="1">
      <c r="A21" s="2" t="inlineStr">
        <is>
          <t>Item</t>
        </is>
      </c>
      <c r="B21" s="2" t="inlineStr">
        <is>
          <t>Standard Value</t>
        </is>
      </c>
      <c r="C21" s="2" t="inlineStr">
        <is>
          <t>Notes</t>
        </is>
      </c>
      <c r="D21" s="2" t="inlineStr"/>
      <c r="E21" s="2" t="inlineStr"/>
      <c r="F21" s="2" t="inlineStr"/>
      <c r="G21" s="2" t="inlineStr"/>
      <c r="H21" s="2" t="inlineStr"/>
    </row>
    <row r="22">
      <c r="A22" s="3" t="inlineStr">
        <is>
          <t>Design Live Load</t>
        </is>
      </c>
      <c r="B22" s="3" t="inlineStr">
        <is>
          <t>50 psf typical</t>
        </is>
      </c>
      <c r="C22" s="3" t="inlineStr">
        <is>
          <t>ASCE 7 minimum</t>
        </is>
      </c>
      <c r="D22" s="3" t="inlineStr"/>
      <c r="E22" s="3" t="inlineStr"/>
      <c r="F22" s="3" t="inlineStr"/>
      <c r="G22" s="3" t="inlineStr"/>
      <c r="H22" s="3" t="inlineStr"/>
    </row>
    <row r="23">
      <c r="A23" s="5" t="inlineStr">
        <is>
          <t>Grating Direction</t>
        </is>
      </c>
      <c r="B23" s="5" t="inlineStr">
        <is>
          <t>Perp. to floor beams</t>
        </is>
      </c>
      <c r="C23" s="5" t="inlineStr">
        <is>
          <t>Bearing bar across span</t>
        </is>
      </c>
      <c r="D23" s="5" t="inlineStr"/>
      <c r="E23" s="5" t="inlineStr"/>
      <c r="F23" s="5" t="inlineStr"/>
      <c r="G23" s="5" t="inlineStr"/>
      <c r="H23" s="5" t="inlineStr"/>
    </row>
    <row r="24">
      <c r="A24" s="3" t="inlineStr">
        <is>
          <t>Grating Fasteners</t>
        </is>
      </c>
      <c r="B24" s="3" t="inlineStr">
        <is>
          <t>Saddle clips 24" o.c.</t>
        </is>
      </c>
      <c r="C24" s="3" t="inlineStr">
        <is>
          <t>4 clips min per panel edge</t>
        </is>
      </c>
      <c r="D24" s="3" t="inlineStr"/>
      <c r="E24" s="3" t="inlineStr"/>
      <c r="F24" s="3" t="inlineStr"/>
      <c r="G24" s="3" t="inlineStr"/>
      <c r="H24" s="3" t="inlineStr"/>
    </row>
    <row r="25">
      <c r="A25" s="5" t="inlineStr">
        <is>
          <t>Drain Hole</t>
        </is>
      </c>
      <c r="B25" s="5" t="inlineStr">
        <is>
          <t>1" dia per 100 sq ft</t>
        </is>
      </c>
      <c r="C25" s="5" t="inlineStr">
        <is>
          <t>At low point</t>
        </is>
      </c>
      <c r="D25" s="5" t="inlineStr"/>
      <c r="E25" s="5" t="inlineStr"/>
      <c r="F25" s="5" t="inlineStr"/>
      <c r="G25" s="5" t="inlineStr"/>
      <c r="H25" s="5" t="inlineStr"/>
    </row>
    <row r="26">
      <c r="A26" s="3" t="inlineStr">
        <is>
          <t>Stair Width Min</t>
        </is>
      </c>
      <c r="B26" s="3" t="inlineStr">
        <is>
          <t>22" clear</t>
        </is>
      </c>
      <c r="C26" s="3" t="inlineStr">
        <is>
          <t>36" preferred for O&amp;G</t>
        </is>
      </c>
      <c r="D26" s="3" t="inlineStr"/>
      <c r="E26" s="3" t="inlineStr"/>
      <c r="F26" s="3" t="inlineStr"/>
      <c r="G26" s="3" t="inlineStr"/>
      <c r="H26" s="3" t="inlineStr"/>
    </row>
    <row r="27">
      <c r="A27" s="5" t="inlineStr">
        <is>
          <t>Tread Depth</t>
        </is>
      </c>
      <c r="B27" s="5" t="inlineStr">
        <is>
          <t>11" min</t>
        </is>
      </c>
      <c r="C27" s="5" t="inlineStr">
        <is>
          <t>Nosing included</t>
        </is>
      </c>
      <c r="D27" s="5" t="inlineStr"/>
      <c r="E27" s="5" t="inlineStr"/>
      <c r="F27" s="5" t="inlineStr"/>
      <c r="G27" s="5" t="inlineStr"/>
      <c r="H27" s="5" t="inlineStr"/>
    </row>
    <row r="28">
      <c r="A28" s="3" t="inlineStr">
        <is>
          <t>Riser Height</t>
        </is>
      </c>
      <c r="B28" s="3" t="inlineStr">
        <is>
          <t>7" max</t>
        </is>
      </c>
      <c r="C28" s="3" t="inlineStr">
        <is>
          <t>Uniform for full flight</t>
        </is>
      </c>
      <c r="D28" s="3" t="inlineStr"/>
      <c r="E28" s="3" t="inlineStr"/>
      <c r="F28" s="3" t="inlineStr"/>
      <c r="G28" s="3" t="inlineStr"/>
      <c r="H28" s="3" t="inlineStr"/>
    </row>
    <row r="29">
      <c r="A29" s="5" t="inlineStr">
        <is>
          <t>Nosing</t>
        </is>
      </c>
      <c r="B29" s="5" t="inlineStr">
        <is>
          <t>L1.25x1.25x1/8 angle</t>
        </is>
      </c>
      <c r="C29" s="5" t="inlineStr">
        <is>
          <t>Tack weld both legs</t>
        </is>
      </c>
      <c r="D29" s="5" t="inlineStr"/>
      <c r="E29" s="5" t="inlineStr"/>
      <c r="F29" s="5" t="inlineStr"/>
      <c r="G29" s="5" t="inlineStr"/>
      <c r="H29" s="5" t="inlineStr"/>
    </row>
    <row r="30">
      <c r="A30" s="3" t="inlineStr">
        <is>
          <t>Safety Yellow Paint</t>
        </is>
      </c>
      <c r="B30" s="3" t="inlineStr">
        <is>
          <t>All leading edges</t>
        </is>
      </c>
      <c r="C30" s="3" t="inlineStr">
        <is>
          <t>Kickplates, nosings</t>
        </is>
      </c>
      <c r="D30" s="3" t="inlineStr"/>
      <c r="E30" s="3" t="inlineStr"/>
      <c r="F30" s="3" t="inlineStr"/>
      <c r="G30" s="3" t="inlineStr"/>
      <c r="H30" s="3" t="inlineStr"/>
    </row>
    <row r="31">
      <c r="A31" s="5" t="inlineStr">
        <is>
          <t>Overhead Clearance</t>
        </is>
      </c>
      <c r="B31" s="5" t="inlineStr">
        <is>
          <t>7'-0" min</t>
        </is>
      </c>
      <c r="C31" s="5" t="inlineStr">
        <is>
          <t>OSHA walkway</t>
        </is>
      </c>
      <c r="D31" s="5" t="inlineStr"/>
      <c r="E31" s="5" t="inlineStr"/>
      <c r="F31" s="5" t="inlineStr"/>
      <c r="G31" s="5" t="inlineStr"/>
      <c r="H31" s="5" t="inlineStr"/>
    </row>
    <row r="33" ht="22" customHeight="1">
      <c r="A33" s="1" t="inlineStr">
        <is>
          <t>PLATFORM BILL OF MATERIALS  (Fill in — Total Wt auto-calcs)</t>
        </is>
      </c>
    </row>
    <row r="34" ht="28" customHeight="1">
      <c r="A34" s="2" t="inlineStr">
        <is>
          <t>Mark</t>
        </is>
      </c>
      <c r="B34" s="2" t="inlineStr">
        <is>
          <t>Description</t>
        </is>
      </c>
      <c r="C34" s="2" t="inlineStr">
        <is>
          <t>Material</t>
        </is>
      </c>
      <c r="D34" s="2" t="inlineStr">
        <is>
          <t>Size</t>
        </is>
      </c>
      <c r="E34" s="2" t="inlineStr">
        <is>
          <t>Length (ft)</t>
        </is>
      </c>
      <c r="F34" s="2" t="inlineStr">
        <is>
          <t>Qty</t>
        </is>
      </c>
      <c r="G34" s="2" t="inlineStr">
        <is>
          <t>Wt/ea (lbs)</t>
        </is>
      </c>
      <c r="H34" s="2" t="inlineStr">
        <is>
          <t>Total Wt</t>
        </is>
      </c>
    </row>
    <row r="35">
      <c r="A35" s="4" t="inlineStr"/>
      <c r="B35" s="3" t="inlineStr"/>
      <c r="C35" s="3" t="inlineStr"/>
      <c r="D35" s="3" t="inlineStr"/>
      <c r="E35" s="4" t="inlineStr"/>
      <c r="F35" s="4" t="inlineStr"/>
      <c r="G35" s="3" t="inlineStr"/>
      <c r="H35" s="14">
        <f>IF(OR(F35="",G35=""),"",F35*G35)</f>
        <v/>
      </c>
    </row>
    <row r="36">
      <c r="A36" s="6" t="inlineStr"/>
      <c r="B36" s="5" t="inlineStr"/>
      <c r="C36" s="5" t="inlineStr"/>
      <c r="D36" s="5" t="inlineStr"/>
      <c r="E36" s="6" t="inlineStr"/>
      <c r="F36" s="6" t="inlineStr"/>
      <c r="G36" s="5" t="inlineStr"/>
      <c r="H36" s="14">
        <f>IF(OR(F36="",G36=""),"",F36*G36)</f>
        <v/>
      </c>
    </row>
    <row r="37">
      <c r="A37" s="4" t="inlineStr"/>
      <c r="B37" s="3" t="inlineStr"/>
      <c r="C37" s="3" t="inlineStr"/>
      <c r="D37" s="3" t="inlineStr"/>
      <c r="E37" s="4" t="inlineStr"/>
      <c r="F37" s="4" t="inlineStr"/>
      <c r="G37" s="3" t="inlineStr"/>
      <c r="H37" s="14">
        <f>IF(OR(F37="",G37=""),"",F37*G37)</f>
        <v/>
      </c>
    </row>
    <row r="38">
      <c r="A38" s="6" t="inlineStr"/>
      <c r="B38" s="5" t="inlineStr"/>
      <c r="C38" s="5" t="inlineStr"/>
      <c r="D38" s="5" t="inlineStr"/>
      <c r="E38" s="6" t="inlineStr"/>
      <c r="F38" s="6" t="inlineStr"/>
      <c r="G38" s="5" t="inlineStr"/>
      <c r="H38" s="14">
        <f>IF(OR(F38="",G38=""),"",F38*G38)</f>
        <v/>
      </c>
    </row>
    <row r="39">
      <c r="A39" s="4" t="inlineStr"/>
      <c r="B39" s="3" t="inlineStr"/>
      <c r="C39" s="3" t="inlineStr"/>
      <c r="D39" s="3" t="inlineStr"/>
      <c r="E39" s="4" t="inlineStr"/>
      <c r="F39" s="4" t="inlineStr"/>
      <c r="G39" s="3" t="inlineStr"/>
      <c r="H39" s="14">
        <f>IF(OR(F39="",G39=""),"",F39*G39)</f>
        <v/>
      </c>
    </row>
    <row r="40">
      <c r="A40" s="6" t="inlineStr"/>
      <c r="B40" s="5" t="inlineStr"/>
      <c r="C40" s="5" t="inlineStr"/>
      <c r="D40" s="5" t="inlineStr"/>
      <c r="E40" s="6" t="inlineStr"/>
      <c r="F40" s="6" t="inlineStr"/>
      <c r="G40" s="5" t="inlineStr"/>
      <c r="H40" s="14">
        <f>IF(OR(F40="",G40=""),"",F40*G40)</f>
        <v/>
      </c>
    </row>
    <row r="41">
      <c r="A41" s="4" t="inlineStr"/>
      <c r="B41" s="3" t="inlineStr"/>
      <c r="C41" s="3" t="inlineStr"/>
      <c r="D41" s="3" t="inlineStr"/>
      <c r="E41" s="4" t="inlineStr"/>
      <c r="F41" s="4" t="inlineStr"/>
      <c r="G41" s="3" t="inlineStr"/>
      <c r="H41" s="14">
        <f>IF(OR(F41="",G41=""),"",F41*G41)</f>
        <v/>
      </c>
    </row>
    <row r="42">
      <c r="A42" s="6" t="inlineStr"/>
      <c r="B42" s="5" t="inlineStr"/>
      <c r="C42" s="5" t="inlineStr"/>
      <c r="D42" s="5" t="inlineStr"/>
      <c r="E42" s="6" t="inlineStr"/>
      <c r="F42" s="6" t="inlineStr"/>
      <c r="G42" s="5" t="inlineStr"/>
      <c r="H42" s="14">
        <f>IF(OR(F42="",G42=""),"",F42*G42)</f>
        <v/>
      </c>
    </row>
    <row r="43">
      <c r="A43" s="4" t="inlineStr"/>
      <c r="B43" s="3" t="inlineStr"/>
      <c r="C43" s="3" t="inlineStr"/>
      <c r="D43" s="3" t="inlineStr"/>
      <c r="E43" s="4" t="inlineStr"/>
      <c r="F43" s="4" t="inlineStr"/>
      <c r="G43" s="3" t="inlineStr"/>
      <c r="H43" s="14">
        <f>IF(OR(F43="",G43=""),"",F43*G43)</f>
        <v/>
      </c>
    </row>
    <row r="44">
      <c r="A44" s="6" t="inlineStr"/>
      <c r="B44" s="5" t="inlineStr"/>
      <c r="C44" s="5" t="inlineStr"/>
      <c r="D44" s="5" t="inlineStr"/>
      <c r="E44" s="6" t="inlineStr"/>
      <c r="F44" s="6" t="inlineStr"/>
      <c r="G44" s="5" t="inlineStr"/>
      <c r="H44" s="14">
        <f>IF(OR(F44="",G44=""),"",F44*G44)</f>
        <v/>
      </c>
    </row>
    <row r="45">
      <c r="A45" s="4" t="inlineStr"/>
      <c r="B45" s="3" t="inlineStr"/>
      <c r="C45" s="3" t="inlineStr"/>
      <c r="D45" s="3" t="inlineStr"/>
      <c r="E45" s="4" t="inlineStr"/>
      <c r="F45" s="4" t="inlineStr"/>
      <c r="G45" s="3" t="inlineStr"/>
      <c r="H45" s="14">
        <f>IF(OR(F45="",G45=""),"",F45*G45)</f>
        <v/>
      </c>
    </row>
    <row r="46">
      <c r="A46" s="6" t="inlineStr"/>
      <c r="B46" s="5" t="inlineStr"/>
      <c r="C46" s="5" t="inlineStr"/>
      <c r="D46" s="5" t="inlineStr"/>
      <c r="E46" s="6" t="inlineStr"/>
      <c r="F46" s="6" t="inlineStr"/>
      <c r="G46" s="5" t="inlineStr"/>
      <c r="H46" s="14">
        <f>IF(OR(F46="",G46=""),"",F46*G46)</f>
        <v/>
      </c>
    </row>
    <row r="47">
      <c r="A47" s="4" t="inlineStr"/>
      <c r="B47" s="3" t="inlineStr"/>
      <c r="C47" s="3" t="inlineStr"/>
      <c r="D47" s="3" t="inlineStr"/>
      <c r="E47" s="4" t="inlineStr"/>
      <c r="F47" s="4" t="inlineStr"/>
      <c r="G47" s="3" t="inlineStr"/>
      <c r="H47" s="14">
        <f>IF(OR(F47="",G47=""),"",F47*G47)</f>
        <v/>
      </c>
    </row>
    <row r="48">
      <c r="A48" s="6" t="inlineStr"/>
      <c r="B48" s="5" t="inlineStr"/>
      <c r="C48" s="5" t="inlineStr"/>
      <c r="D48" s="5" t="inlineStr"/>
      <c r="E48" s="6" t="inlineStr"/>
      <c r="F48" s="6" t="inlineStr"/>
      <c r="G48" s="5" t="inlineStr"/>
      <c r="H48" s="14">
        <f>IF(OR(F48="",G48=""),"",F48*G48)</f>
        <v/>
      </c>
    </row>
    <row r="49">
      <c r="A49" s="4" t="inlineStr"/>
      <c r="B49" s="3" t="inlineStr"/>
      <c r="C49" s="3" t="inlineStr"/>
      <c r="D49" s="3" t="inlineStr"/>
      <c r="E49" s="4" t="inlineStr"/>
      <c r="F49" s="4" t="inlineStr"/>
      <c r="G49" s="3" t="inlineStr"/>
      <c r="H49" s="14">
        <f>IF(OR(F49="",G49=""),"",F49*G49)</f>
        <v/>
      </c>
    </row>
    <row r="50">
      <c r="A50" s="6" t="inlineStr"/>
      <c r="B50" s="5" t="inlineStr"/>
      <c r="C50" s="5" t="inlineStr"/>
      <c r="D50" s="5" t="inlineStr"/>
      <c r="E50" s="6" t="inlineStr"/>
      <c r="F50" s="6" t="inlineStr"/>
      <c r="G50" s="5" t="inlineStr"/>
      <c r="H50" s="14">
        <f>IF(OR(F50="",G50=""),"",F50*G50)</f>
        <v/>
      </c>
    </row>
    <row r="51">
      <c r="A51" s="4" t="inlineStr"/>
      <c r="B51" s="3" t="inlineStr"/>
      <c r="C51" s="3" t="inlineStr"/>
      <c r="D51" s="3" t="inlineStr"/>
      <c r="E51" s="4" t="inlineStr"/>
      <c r="F51" s="4" t="inlineStr"/>
      <c r="G51" s="3" t="inlineStr"/>
      <c r="H51" s="14">
        <f>IF(OR(F51="",G51=""),"",F51*G51)</f>
        <v/>
      </c>
    </row>
    <row r="52">
      <c r="A52" s="6" t="inlineStr"/>
      <c r="B52" s="5" t="inlineStr"/>
      <c r="C52" s="5" t="inlineStr"/>
      <c r="D52" s="5" t="inlineStr"/>
      <c r="E52" s="6" t="inlineStr"/>
      <c r="F52" s="6" t="inlineStr"/>
      <c r="G52" s="5" t="inlineStr"/>
      <c r="H52" s="14">
        <f>IF(OR(F52="",G52=""),"",F52*G52)</f>
        <v/>
      </c>
    </row>
    <row r="53">
      <c r="A53" s="4" t="inlineStr"/>
      <c r="B53" s="3" t="inlineStr"/>
      <c r="C53" s="3" t="inlineStr"/>
      <c r="D53" s="3" t="inlineStr"/>
      <c r="E53" s="4" t="inlineStr"/>
      <c r="F53" s="4" t="inlineStr"/>
      <c r="G53" s="3" t="inlineStr"/>
      <c r="H53" s="14">
        <f>IF(OR(F53="",G53=""),"",F53*G53)</f>
        <v/>
      </c>
    </row>
    <row r="54">
      <c r="A54" s="6" t="inlineStr"/>
      <c r="B54" s="5" t="inlineStr"/>
      <c r="C54" s="5" t="inlineStr"/>
      <c r="D54" s="5" t="inlineStr"/>
      <c r="E54" s="6" t="inlineStr"/>
      <c r="F54" s="6" t="inlineStr"/>
      <c r="G54" s="5" t="inlineStr"/>
      <c r="H54" s="14">
        <f>IF(OR(F54="",G54=""),"",F54*G54)</f>
        <v/>
      </c>
    </row>
    <row r="55">
      <c r="G55" s="7" t="inlineStr">
        <is>
          <t>GRAND TOTAL (lbs):</t>
        </is>
      </c>
      <c r="H55" s="15">
        <f>SUM(H35:H54)</f>
        <v/>
      </c>
    </row>
  </sheetData>
  <mergeCells count="4">
    <mergeCell ref="A20:H20"/>
    <mergeCell ref="A33:H33"/>
    <mergeCell ref="A10:H10"/>
    <mergeCell ref="A1:H1"/>
  </mergeCells>
  <dataValidations count="1">
    <dataValidation sqref="C35:C54" showDropDown="0" showInputMessage="0" showErrorMessage="0" allowBlank="1" type="list">
      <formula1>"A36,A572 Gr50,A992,A500 Gr B,A500 Gr C,A53-B,A106-B,A108"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G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18" customWidth="1" min="5" max="5"/>
    <col width="14" customWidth="1" min="6" max="6"/>
    <col width="36" customWidth="1" min="7" max="7"/>
  </cols>
  <sheetData>
    <row r="1" ht="22" customHeight="1">
      <c r="A1" s="1" t="inlineStr">
        <is>
          <t>BOLT &amp; ANCHOR ROD GRADES  (AISC / ASTM)</t>
        </is>
      </c>
    </row>
    <row r="2" ht="28" customHeight="1">
      <c r="A2" s="2" t="inlineStr">
        <is>
          <t>Spec</t>
        </is>
      </c>
      <c r="B2" s="2" t="inlineStr">
        <is>
          <t>Grade</t>
        </is>
      </c>
      <c r="C2" s="2" t="inlineStr">
        <is>
          <t>Fy (ksi)</t>
        </is>
      </c>
      <c r="D2" s="2" t="inlineStr">
        <is>
          <t>Fu (ksi)</t>
        </is>
      </c>
      <c r="E2" s="2" t="inlineStr">
        <is>
          <t>Shear (ksi)</t>
        </is>
      </c>
      <c r="F2" s="2" t="inlineStr">
        <is>
          <t>Tension (ksi)</t>
        </is>
      </c>
      <c r="G2" s="2" t="inlineStr">
        <is>
          <t>Notes</t>
        </is>
      </c>
    </row>
    <row r="3">
      <c r="A3" s="3" t="inlineStr">
        <is>
          <t>A307</t>
        </is>
      </c>
      <c r="B3" s="3" t="inlineStr">
        <is>
          <t>Low carbon</t>
        </is>
      </c>
      <c r="C3" s="4" t="inlineStr">
        <is>
          <t>N/A</t>
        </is>
      </c>
      <c r="D3" s="4" t="inlineStr">
        <is>
          <t>60</t>
        </is>
      </c>
      <c r="E3" s="4" t="inlineStr">
        <is>
          <t>27.0</t>
        </is>
      </c>
      <c r="F3" s="4" t="inlineStr">
        <is>
          <t>45.0</t>
        </is>
      </c>
      <c r="G3" s="3" t="inlineStr">
        <is>
          <t>Non-structural; anchor bolts, light connections</t>
        </is>
      </c>
    </row>
    <row r="4">
      <c r="A4" s="5" t="inlineStr">
        <is>
          <t>A325</t>
        </is>
      </c>
      <c r="B4" s="5" t="inlineStr">
        <is>
          <t>Med carbon</t>
        </is>
      </c>
      <c r="C4" s="6" t="inlineStr">
        <is>
          <t>92</t>
        </is>
      </c>
      <c r="D4" s="6" t="inlineStr">
        <is>
          <t>120</t>
        </is>
      </c>
      <c r="E4" s="6" t="inlineStr">
        <is>
          <t>54.0</t>
        </is>
      </c>
      <c r="F4" s="6" t="inlineStr">
        <is>
          <t>90.0</t>
        </is>
      </c>
      <c r="G4" s="5" t="inlineStr">
        <is>
          <t>Standard structural bolt; most common</t>
        </is>
      </c>
    </row>
    <row r="5">
      <c r="A5" s="3" t="inlineStr">
        <is>
          <t>A490</t>
        </is>
      </c>
      <c r="B5" s="3" t="inlineStr">
        <is>
          <t>Alloy steel</t>
        </is>
      </c>
      <c r="C5" s="4" t="inlineStr">
        <is>
          <t>130</t>
        </is>
      </c>
      <c r="D5" s="4" t="inlineStr">
        <is>
          <t>150</t>
        </is>
      </c>
      <c r="E5" s="4" t="inlineStr">
        <is>
          <t>67.5</t>
        </is>
      </c>
      <c r="F5" s="4" t="inlineStr">
        <is>
          <t>112.5</t>
        </is>
      </c>
      <c r="G5" s="3" t="inlineStr">
        <is>
          <t>High-strength; heavier connections</t>
        </is>
      </c>
    </row>
    <row r="6">
      <c r="A6" s="5" t="inlineStr">
        <is>
          <t>F1554 Gr36</t>
        </is>
      </c>
      <c r="B6" s="5" t="inlineStr">
        <is>
          <t>Low carbon</t>
        </is>
      </c>
      <c r="C6" s="6" t="inlineStr">
        <is>
          <t>36</t>
        </is>
      </c>
      <c r="D6" s="6" t="inlineStr">
        <is>
          <t>58</t>
        </is>
      </c>
      <c r="E6" s="6" t="inlineStr">
        <is>
          <t>N/A</t>
        </is>
      </c>
      <c r="F6" s="6" t="inlineStr">
        <is>
          <t>N/A</t>
        </is>
      </c>
      <c r="G6" s="5" t="inlineStr">
        <is>
          <t>Anchor rods; weldable</t>
        </is>
      </c>
    </row>
    <row r="7">
      <c r="A7" s="3" t="inlineStr">
        <is>
          <t>F1554 Gr55</t>
        </is>
      </c>
      <c r="B7" s="3" t="inlineStr">
        <is>
          <t>Med carbon</t>
        </is>
      </c>
      <c r="C7" s="4" t="inlineStr">
        <is>
          <t>55</t>
        </is>
      </c>
      <c r="D7" s="4" t="inlineStr">
        <is>
          <t>75</t>
        </is>
      </c>
      <c r="E7" s="4" t="inlineStr">
        <is>
          <t>N/A</t>
        </is>
      </c>
      <c r="F7" s="4" t="inlineStr">
        <is>
          <t>N/A</t>
        </is>
      </c>
      <c r="G7" s="3" t="inlineStr">
        <is>
          <t>Anchor rods; higher strength</t>
        </is>
      </c>
    </row>
    <row r="8">
      <c r="A8" s="5" t="inlineStr">
        <is>
          <t>F1554 Gr105</t>
        </is>
      </c>
      <c r="B8" s="5" t="inlineStr">
        <is>
          <t>Alloy</t>
        </is>
      </c>
      <c r="C8" s="6" t="inlineStr">
        <is>
          <t>105</t>
        </is>
      </c>
      <c r="D8" s="6" t="inlineStr">
        <is>
          <t>125</t>
        </is>
      </c>
      <c r="E8" s="6" t="inlineStr">
        <is>
          <t>N/A</t>
        </is>
      </c>
      <c r="F8" s="6" t="inlineStr">
        <is>
          <t>N/A</t>
        </is>
      </c>
      <c r="G8" s="5" t="inlineStr">
        <is>
          <t>Anchor rods; heavy equipment</t>
        </is>
      </c>
    </row>
    <row r="9">
      <c r="A9" s="3" t="inlineStr">
        <is>
          <t>A36 Threaded</t>
        </is>
      </c>
      <c r="B9" s="3" t="inlineStr">
        <is>
          <t>Low carbon</t>
        </is>
      </c>
      <c r="C9" s="4" t="inlineStr">
        <is>
          <t>36</t>
        </is>
      </c>
      <c r="D9" s="4" t="inlineStr">
        <is>
          <t>58</t>
        </is>
      </c>
      <c r="E9" s="4" t="inlineStr">
        <is>
          <t>N/A</t>
        </is>
      </c>
      <c r="F9" s="4" t="inlineStr">
        <is>
          <t>N/A</t>
        </is>
      </c>
      <c r="G9" s="3" t="inlineStr">
        <is>
          <t>All-thread rod; misc bracing/hangers</t>
        </is>
      </c>
    </row>
    <row r="11" ht="22" customHeight="1">
      <c r="A11" s="1" t="inlineStr">
        <is>
          <t>STANDARD HOLE SIZES  (AISC Table J3.3)</t>
        </is>
      </c>
    </row>
    <row r="12" ht="28" customHeight="1">
      <c r="A12" s="2" t="inlineStr">
        <is>
          <t>Bolt Dia</t>
        </is>
      </c>
      <c r="B12" s="2" t="inlineStr">
        <is>
          <t>STD Hole</t>
        </is>
      </c>
      <c r="C12" s="2" t="inlineStr">
        <is>
          <t>OVS Hole</t>
        </is>
      </c>
      <c r="D12" s="2" t="inlineStr">
        <is>
          <t>SSLOT Width</t>
        </is>
      </c>
      <c r="E12" s="2" t="inlineStr">
        <is>
          <t>SSLOT Length</t>
        </is>
      </c>
      <c r="F12" s="2" t="inlineStr">
        <is>
          <t>LSLOT Width</t>
        </is>
      </c>
      <c r="G12" s="2" t="inlineStr">
        <is>
          <t>LSLOT Length</t>
        </is>
      </c>
    </row>
    <row r="13">
      <c r="A13" s="4" t="inlineStr">
        <is>
          <t>1/2"</t>
        </is>
      </c>
      <c r="B13" s="4" t="inlineStr">
        <is>
          <t>9/16"</t>
        </is>
      </c>
      <c r="C13" s="4" t="inlineStr">
        <is>
          <t>5/8"</t>
        </is>
      </c>
      <c r="D13" s="4" t="inlineStr">
        <is>
          <t>9/16"</t>
        </is>
      </c>
      <c r="E13" s="4" t="inlineStr">
        <is>
          <t>11/16"</t>
        </is>
      </c>
      <c r="F13" s="4" t="inlineStr">
        <is>
          <t>9/16"</t>
        </is>
      </c>
      <c r="G13" s="4" t="inlineStr">
        <is>
          <t>1-1/4"</t>
        </is>
      </c>
    </row>
    <row r="14">
      <c r="A14" s="6" t="inlineStr">
        <is>
          <t>5/8"</t>
        </is>
      </c>
      <c r="B14" s="6" t="inlineStr">
        <is>
          <t>11/16"</t>
        </is>
      </c>
      <c r="C14" s="6" t="inlineStr">
        <is>
          <t>13/16"</t>
        </is>
      </c>
      <c r="D14" s="6" t="inlineStr">
        <is>
          <t>11/16"</t>
        </is>
      </c>
      <c r="E14" s="6" t="inlineStr">
        <is>
          <t>7/8"</t>
        </is>
      </c>
      <c r="F14" s="6" t="inlineStr">
        <is>
          <t>11/16"</t>
        </is>
      </c>
      <c r="G14" s="6" t="inlineStr">
        <is>
          <t>1-9/16"</t>
        </is>
      </c>
    </row>
    <row r="15">
      <c r="A15" s="4" t="inlineStr">
        <is>
          <t>3/4"</t>
        </is>
      </c>
      <c r="B15" s="4" t="inlineStr">
        <is>
          <t>13/16"</t>
        </is>
      </c>
      <c r="C15" s="4" t="inlineStr">
        <is>
          <t>15/16"</t>
        </is>
      </c>
      <c r="D15" s="4" t="inlineStr">
        <is>
          <t>13/16"</t>
        </is>
      </c>
      <c r="E15" s="4" t="inlineStr">
        <is>
          <t>1"</t>
        </is>
      </c>
      <c r="F15" s="4" t="inlineStr">
        <is>
          <t>13/16"</t>
        </is>
      </c>
      <c r="G15" s="4" t="inlineStr">
        <is>
          <t>1-7/8"</t>
        </is>
      </c>
    </row>
    <row r="16">
      <c r="A16" s="6" t="inlineStr">
        <is>
          <t>7/8"</t>
        </is>
      </c>
      <c r="B16" s="6" t="inlineStr">
        <is>
          <t>15/16"</t>
        </is>
      </c>
      <c r="C16" s="6" t="inlineStr">
        <is>
          <t>1-1/16"</t>
        </is>
      </c>
      <c r="D16" s="6" t="inlineStr">
        <is>
          <t>15/16"</t>
        </is>
      </c>
      <c r="E16" s="6" t="inlineStr">
        <is>
          <t>1-1/8"</t>
        </is>
      </c>
      <c r="F16" s="6" t="inlineStr">
        <is>
          <t>15/16"</t>
        </is>
      </c>
      <c r="G16" s="6" t="inlineStr">
        <is>
          <t>2-3/16"</t>
        </is>
      </c>
    </row>
    <row r="17">
      <c r="A17" s="4" t="inlineStr">
        <is>
          <t>1"</t>
        </is>
      </c>
      <c r="B17" s="4" t="inlineStr">
        <is>
          <t>1-1/16"</t>
        </is>
      </c>
      <c r="C17" s="4" t="inlineStr">
        <is>
          <t>1-1/4"</t>
        </is>
      </c>
      <c r="D17" s="4" t="inlineStr">
        <is>
          <t>1-1/16"</t>
        </is>
      </c>
      <c r="E17" s="4" t="inlineStr">
        <is>
          <t>1-5/16"</t>
        </is>
      </c>
      <c r="F17" s="4" t="inlineStr">
        <is>
          <t>1-1/16"</t>
        </is>
      </c>
      <c r="G17" s="4" t="inlineStr">
        <is>
          <t>2-1/2"</t>
        </is>
      </c>
    </row>
    <row r="18">
      <c r="A18" s="6" t="inlineStr">
        <is>
          <t>1-1/8"</t>
        </is>
      </c>
      <c r="B18" s="6" t="inlineStr">
        <is>
          <t>1-3/16"</t>
        </is>
      </c>
      <c r="C18" s="6" t="inlineStr">
        <is>
          <t>1-3/8"</t>
        </is>
      </c>
      <c r="D18" s="6" t="inlineStr">
        <is>
          <t>1-3/16"</t>
        </is>
      </c>
      <c r="E18" s="6" t="inlineStr">
        <is>
          <t>1-7/16"</t>
        </is>
      </c>
      <c r="F18" s="6" t="inlineStr">
        <is>
          <t>1-3/16"</t>
        </is>
      </c>
      <c r="G18" s="6" t="inlineStr">
        <is>
          <t>2-13/16"</t>
        </is>
      </c>
    </row>
    <row r="19">
      <c r="A19" s="4" t="inlineStr">
        <is>
          <t>1-1/4"</t>
        </is>
      </c>
      <c r="B19" s="4" t="inlineStr">
        <is>
          <t>1-5/16"</t>
        </is>
      </c>
      <c r="C19" s="4" t="inlineStr">
        <is>
          <t>1-1/2"</t>
        </is>
      </c>
      <c r="D19" s="4" t="inlineStr">
        <is>
          <t>1-5/16"</t>
        </is>
      </c>
      <c r="E19" s="4" t="inlineStr">
        <is>
          <t>1-9/16"</t>
        </is>
      </c>
      <c r="F19" s="4" t="inlineStr">
        <is>
          <t>1-5/16"</t>
        </is>
      </c>
      <c r="G19" s="4" t="inlineStr">
        <is>
          <t>3-1/8"</t>
        </is>
      </c>
    </row>
    <row r="21" ht="22" customHeight="1">
      <c r="A21" s="1" t="inlineStr">
        <is>
          <t>MIN EDGE DISTANCE &amp; BOLT SPACING  (AISC Table J3.4)</t>
        </is>
      </c>
    </row>
    <row r="22" ht="28" customHeight="1">
      <c r="A22" s="2" t="inlineStr">
        <is>
          <t>Bolt Dia</t>
        </is>
      </c>
      <c r="B22" s="2" t="inlineStr">
        <is>
          <t>Min Edge (sheared)</t>
        </is>
      </c>
      <c r="C22" s="2" t="inlineStr">
        <is>
          <t>Min Edge (rolled/saw)</t>
        </is>
      </c>
      <c r="D22" s="2" t="inlineStr">
        <is>
          <t>Min Spacing (3x dia)</t>
        </is>
      </c>
      <c r="E22" s="2" t="inlineStr"/>
      <c r="F22" s="2" t="inlineStr"/>
      <c r="G22" s="2" t="inlineStr"/>
    </row>
    <row r="23">
      <c r="A23" s="4" t="inlineStr">
        <is>
          <t>1/2"</t>
        </is>
      </c>
      <c r="B23" s="4" t="inlineStr">
        <is>
          <t>7/8"</t>
        </is>
      </c>
      <c r="C23" s="4" t="inlineStr">
        <is>
          <t>3/4"</t>
        </is>
      </c>
      <c r="D23" s="4" t="inlineStr">
        <is>
          <t>1-1/2"</t>
        </is>
      </c>
      <c r="E23" s="3" t="inlineStr"/>
      <c r="F23" s="3" t="inlineStr"/>
      <c r="G23" s="3" t="inlineStr"/>
    </row>
    <row r="24">
      <c r="A24" s="6" t="inlineStr">
        <is>
          <t>5/8"</t>
        </is>
      </c>
      <c r="B24" s="6" t="inlineStr">
        <is>
          <t>1-1/8"</t>
        </is>
      </c>
      <c r="C24" s="6" t="inlineStr">
        <is>
          <t>7/8"</t>
        </is>
      </c>
      <c r="D24" s="6" t="inlineStr">
        <is>
          <t>1-7/8"</t>
        </is>
      </c>
      <c r="E24" s="5" t="inlineStr"/>
      <c r="F24" s="5" t="inlineStr"/>
      <c r="G24" s="5" t="inlineStr"/>
    </row>
    <row r="25">
      <c r="A25" s="4" t="inlineStr">
        <is>
          <t>3/4"</t>
        </is>
      </c>
      <c r="B25" s="4" t="inlineStr">
        <is>
          <t>1-1/4"</t>
        </is>
      </c>
      <c r="C25" s="4" t="inlineStr">
        <is>
          <t>1"</t>
        </is>
      </c>
      <c r="D25" s="4" t="inlineStr">
        <is>
          <t>2-1/4"</t>
        </is>
      </c>
      <c r="E25" s="3" t="inlineStr"/>
      <c r="F25" s="3" t="inlineStr"/>
      <c r="G25" s="3" t="inlineStr"/>
    </row>
    <row r="26">
      <c r="A26" s="6" t="inlineStr">
        <is>
          <t>7/8"</t>
        </is>
      </c>
      <c r="B26" s="6" t="inlineStr">
        <is>
          <t>1-1/2"</t>
        </is>
      </c>
      <c r="C26" s="6" t="inlineStr">
        <is>
          <t>1-1/8"</t>
        </is>
      </c>
      <c r="D26" s="6" t="inlineStr">
        <is>
          <t>2-5/8"</t>
        </is>
      </c>
      <c r="E26" s="5" t="inlineStr"/>
      <c r="F26" s="5" t="inlineStr"/>
      <c r="G26" s="5" t="inlineStr"/>
    </row>
    <row r="27">
      <c r="A27" s="4" t="inlineStr">
        <is>
          <t>1"</t>
        </is>
      </c>
      <c r="B27" s="4" t="inlineStr">
        <is>
          <t>1-3/4"</t>
        </is>
      </c>
      <c r="C27" s="4" t="inlineStr">
        <is>
          <t>1-1/4"</t>
        </is>
      </c>
      <c r="D27" s="4" t="inlineStr">
        <is>
          <t>3"</t>
        </is>
      </c>
      <c r="E27" s="3" t="inlineStr"/>
      <c r="F27" s="3" t="inlineStr"/>
      <c r="G27" s="3" t="inlineStr"/>
    </row>
    <row r="28">
      <c r="A28" s="6" t="inlineStr">
        <is>
          <t>1-1/8"</t>
        </is>
      </c>
      <c r="B28" s="6" t="inlineStr">
        <is>
          <t>2"</t>
        </is>
      </c>
      <c r="C28" s="6" t="inlineStr">
        <is>
          <t>1-1/2"</t>
        </is>
      </c>
      <c r="D28" s="6" t="inlineStr">
        <is>
          <t>3-3/8"</t>
        </is>
      </c>
      <c r="E28" s="5" t="inlineStr"/>
      <c r="F28" s="5" t="inlineStr"/>
      <c r="G28" s="5" t="inlineStr"/>
    </row>
    <row r="29">
      <c r="A29" s="4" t="inlineStr">
        <is>
          <t>1-1/4"</t>
        </is>
      </c>
      <c r="B29" s="4" t="inlineStr">
        <is>
          <t>2-1/4"</t>
        </is>
      </c>
      <c r="C29" s="4" t="inlineStr">
        <is>
          <t>1-5/8"</t>
        </is>
      </c>
      <c r="D29" s="4" t="inlineStr">
        <is>
          <t>3-3/4"</t>
        </is>
      </c>
      <c r="E29" s="3" t="inlineStr"/>
      <c r="F29" s="3" t="inlineStr"/>
      <c r="G29" s="3" t="inlineStr"/>
    </row>
    <row r="31" ht="22" customHeight="1">
      <c r="A31" s="1" t="inlineStr">
        <is>
          <t>APPROXIMATE SNUG-TIGHT TORQUE  (Reference only — follow approved ITP)</t>
        </is>
      </c>
    </row>
    <row r="32" ht="28" customHeight="1">
      <c r="A32" s="2" t="inlineStr">
        <is>
          <t>Bolt Dia</t>
        </is>
      </c>
      <c r="B32" s="2" t="inlineStr"/>
      <c r="C32" s="2" t="inlineStr">
        <is>
          <t>Grip Range</t>
        </is>
      </c>
      <c r="D32" s="2" t="inlineStr">
        <is>
          <t>A325 Torque (ft-lbs)</t>
        </is>
      </c>
      <c r="E32" s="2" t="inlineStr">
        <is>
          <t>A490 Torque (ft-lbs)</t>
        </is>
      </c>
      <c r="F32" s="2" t="inlineStr"/>
      <c r="G32" s="2" t="inlineStr"/>
    </row>
    <row r="33">
      <c r="A33" s="4" t="inlineStr">
        <is>
          <t>1/2"</t>
        </is>
      </c>
      <c r="B33" s="3" t="inlineStr"/>
      <c r="C33" s="4" t="inlineStr">
        <is>
          <t>3/16" – 1"</t>
        </is>
      </c>
      <c r="D33" s="4" t="inlineStr">
        <is>
          <t>85</t>
        </is>
      </c>
      <c r="E33" s="4" t="inlineStr">
        <is>
          <t>107</t>
        </is>
      </c>
      <c r="F33" s="3" t="inlineStr"/>
      <c r="G33" s="3" t="inlineStr"/>
    </row>
    <row r="34">
      <c r="A34" s="6" t="inlineStr">
        <is>
          <t>5/8"</t>
        </is>
      </c>
      <c r="B34" s="5" t="inlineStr"/>
      <c r="C34" s="6" t="inlineStr">
        <is>
          <t>3/16" – 1"</t>
        </is>
      </c>
      <c r="D34" s="6" t="inlineStr">
        <is>
          <t>170</t>
        </is>
      </c>
      <c r="E34" s="6" t="inlineStr">
        <is>
          <t>212</t>
        </is>
      </c>
      <c r="F34" s="5" t="inlineStr"/>
      <c r="G34" s="5" t="inlineStr"/>
    </row>
    <row r="35">
      <c r="A35" s="4" t="inlineStr">
        <is>
          <t>3/4"</t>
        </is>
      </c>
      <c r="B35" s="3" t="inlineStr"/>
      <c r="C35" s="4" t="inlineStr">
        <is>
          <t>1/4" – 1-1/2"</t>
        </is>
      </c>
      <c r="D35" s="4" t="inlineStr">
        <is>
          <t>300</t>
        </is>
      </c>
      <c r="E35" s="4" t="inlineStr">
        <is>
          <t>375</t>
        </is>
      </c>
      <c r="F35" s="3" t="inlineStr"/>
      <c r="G35" s="3" t="inlineStr"/>
    </row>
    <row r="36">
      <c r="A36" s="6" t="inlineStr">
        <is>
          <t>7/8"</t>
        </is>
      </c>
      <c r="B36" s="5" t="inlineStr"/>
      <c r="C36" s="6" t="inlineStr">
        <is>
          <t>1/4" – 2"</t>
        </is>
      </c>
      <c r="D36" s="6" t="inlineStr">
        <is>
          <t>490</t>
        </is>
      </c>
      <c r="E36" s="6" t="inlineStr">
        <is>
          <t>612</t>
        </is>
      </c>
      <c r="F36" s="5" t="inlineStr"/>
      <c r="G36" s="5" t="inlineStr"/>
    </row>
    <row r="37">
      <c r="A37" s="4" t="inlineStr">
        <is>
          <t>1"</t>
        </is>
      </c>
      <c r="B37" s="3" t="inlineStr"/>
      <c r="C37" s="4" t="inlineStr">
        <is>
          <t>1/4" – 2"</t>
        </is>
      </c>
      <c r="D37" s="4" t="inlineStr">
        <is>
          <t>730</t>
        </is>
      </c>
      <c r="E37" s="4" t="inlineStr">
        <is>
          <t>912</t>
        </is>
      </c>
      <c r="F37" s="3" t="inlineStr"/>
      <c r="G37" s="3" t="inlineStr"/>
    </row>
    <row r="38">
      <c r="A38" s="6" t="inlineStr">
        <is>
          <t>1-1/8"</t>
        </is>
      </c>
      <c r="B38" s="5" t="inlineStr"/>
      <c r="C38" s="6" t="inlineStr">
        <is>
          <t>3/8" – 2"</t>
        </is>
      </c>
      <c r="D38" s="6" t="inlineStr">
        <is>
          <t>1050</t>
        </is>
      </c>
      <c r="E38" s="6" t="inlineStr">
        <is>
          <t>1312</t>
        </is>
      </c>
      <c r="F38" s="5" t="inlineStr"/>
      <c r="G38" s="5" t="inlineStr"/>
    </row>
    <row r="39">
      <c r="A39" s="4" t="inlineStr">
        <is>
          <t>1-1/4"</t>
        </is>
      </c>
      <c r="B39" s="3" t="inlineStr"/>
      <c r="C39" s="4" t="inlineStr">
        <is>
          <t>3/8" – 2"</t>
        </is>
      </c>
      <c r="D39" s="4" t="inlineStr">
        <is>
          <t>1460</t>
        </is>
      </c>
      <c r="E39" s="4" t="inlineStr">
        <is>
          <t>1825</t>
        </is>
      </c>
      <c r="F39" s="3" t="inlineStr"/>
      <c r="G39" s="3" t="inlineStr"/>
    </row>
    <row r="42">
      <c r="A42" s="10" t="inlineStr">
        <is>
          <t>• STD = Standard hole | OVS = Oversized | SSLOT = Short-slot | LSLOT = Long-slot</t>
        </is>
      </c>
    </row>
    <row r="43">
      <c r="A43" s="10" t="inlineStr">
        <is>
          <t>• A325 and A490 are now superseded by ASTM F3125 Gr A325/A490 — same dimensions/strengths</t>
        </is>
      </c>
    </row>
    <row r="44">
      <c r="A44" s="10" t="inlineStr">
        <is>
          <t>• Min spacing = 2-2/3 × bolt dia (preferred 3×); min edge = per table above</t>
        </is>
      </c>
    </row>
    <row r="45">
      <c r="A45" s="10" t="inlineStr">
        <is>
          <t>• For slip-critical connections use Class A or B faying surface — see engineer</t>
        </is>
      </c>
    </row>
    <row r="46">
      <c r="A46" s="10" t="inlineStr">
        <is>
          <t>• Torque values are approximate — always follow the project Inspection &amp; Test Plan (ITP)</t>
        </is>
      </c>
    </row>
    <row r="47">
      <c r="A47" s="10" t="inlineStr">
        <is>
          <t>• F1554 anchor rods: embed length = 12× dia minimum unless engineer specifies otherwise</t>
        </is>
      </c>
    </row>
  </sheetData>
  <mergeCells count="10">
    <mergeCell ref="A44:G44"/>
    <mergeCell ref="A1:G1"/>
    <mergeCell ref="A45:G45"/>
    <mergeCell ref="A31:G31"/>
    <mergeCell ref="A21:G21"/>
    <mergeCell ref="A43:G43"/>
    <mergeCell ref="A11:G11"/>
    <mergeCell ref="A47:G47"/>
    <mergeCell ref="A42:G42"/>
    <mergeCell ref="A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2026-04-14T13:40:48Z</dcterms:created>
  <dcterms:modified xsi:type="dcterms:W3CDTF">2026-04-14T13:40:48Z</dcterms:modified>
</cp:coreProperties>
</file>